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TOC" sheetId="2" r:id="rId5"/>
    <sheet state="visible" name="Create Player and Transfer" sheetId="3" r:id="rId6"/>
    <sheet state="visible" name="Login" sheetId="4" r:id="rId7"/>
    <sheet state="visible" name="Player Account Management" sheetId="5" r:id="rId8"/>
    <sheet state="visible" name="Agent Operation" sheetId="6" r:id="rId9"/>
    <sheet state="visible" name="Record Query" sheetId="7" r:id="rId10"/>
  </sheets>
  <definedNames/>
  <calcPr/>
</workbook>
</file>

<file path=xl/sharedStrings.xml><?xml version="1.0" encoding="utf-8"?>
<sst xmlns="http://schemas.openxmlformats.org/spreadsheetml/2006/main" count="370" uniqueCount="188">
  <si>
    <t>Test Plan for Multiple Wallet 2.0 API Integration</t>
  </si>
  <si>
    <t>Functional Test</t>
  </si>
  <si>
    <t>Section</t>
  </si>
  <si>
    <t>Worksheet</t>
  </si>
  <si>
    <t>No. of Cases</t>
  </si>
  <si>
    <t>Completed</t>
  </si>
  <si>
    <t>Pass</t>
  </si>
  <si>
    <t>Fail</t>
  </si>
  <si>
    <t>Create Player and Transfer</t>
  </si>
  <si>
    <t>Login</t>
  </si>
  <si>
    <t>Player Account Management</t>
  </si>
  <si>
    <t>Agent Operation</t>
  </si>
  <si>
    <t>Record Query</t>
  </si>
  <si>
    <t>Total</t>
  </si>
  <si>
    <t xml:space="preserve"> </t>
  </si>
  <si>
    <t>Create Player Account and Transfer Credit</t>
  </si>
  <si>
    <t>1.1. Check or Create</t>
  </si>
  <si>
    <t>API: /CheckOrCreate</t>
  </si>
  <si>
    <t>Case #</t>
  </si>
  <si>
    <t>Test Scenario</t>
  </si>
  <si>
    <t>Parameters</t>
  </si>
  <si>
    <t>Expected Results</t>
  </si>
  <si>
    <t>Actual Results</t>
  </si>
  <si>
    <t>Test Status</t>
  </si>
  <si>
    <t>Results</t>
  </si>
  <si>
    <t>CASE-1-1-1</t>
  </si>
  <si>
    <t>Check if a player account exisit</t>
  </si>
  <si>
    <t>Request Body (JSON):
{
  "agent":"&lt;username of direct upline agent&gt;",
  "player":"&lt;username of an existing player&gt;"
}</t>
  </si>
  <si>
    <t>HTTP Status Code: 200
Response Body (JSON):
{
  "resultCode":"PLAYER_EXIST",
  "message":"player:&lt;username of the specified player&gt; exist",
  "data":NULL
}</t>
  </si>
  <si>
    <t>CASE-1-1-2</t>
  </si>
  <si>
    <t>Create new player account</t>
  </si>
  <si>
    <t>Request Body (JSON):
{
  "agent":"&lt;username of direct upline agent&gt;",
  "player":"&lt;username of new player&gt;"
}</t>
  </si>
  <si>
    <t>HTTP Status Code: 200
Response Body (JSON):
{
  "resultCode":"OK",
  "message":NULL,
  "data": {
      "player":"&lt;username of the newly-created player&gt;"
    }
}</t>
  </si>
  <si>
    <t>1.2. Transfer</t>
  </si>
  <si>
    <t>API: /Transfer</t>
  </si>
  <si>
    <t>CASE-1-2-1</t>
  </si>
  <si>
    <t>Transfer credit</t>
  </si>
  <si>
    <t>Request Body (JSON):
{
  "sn":"&lt;serial number&gt;",
  "agent":"&lt;direct upline agent&gt;",
  "player":"&lt;player&gt;",
  "type":&lt;type of transfer&gt;,
  "amount":credit amount
}</t>
  </si>
  <si>
    <t>HTTP Status Code: 200
Response Body (JSON):
{
  "resultCode":"OK",
  "message":NULL,
  "data":NULL
}</t>
  </si>
  <si>
    <t>CASE-1-2-2</t>
  </si>
  <si>
    <t>Player cannot be found under the specified agent</t>
  </si>
  <si>
    <t>Request Body (JSON):
{
  "sn":"&lt;serial number&gt;",
  "agent":"&lt;agent&gt;",
  "player":"&lt;player under another agent&gt;",
  "type":&lt;type of transfer&gt;,
  "amount":credit amount
}</t>
  </si>
  <si>
    <t>HTTP Status Code: 200
Response Body (JSON):
{
  "resultCode":"ILLEGAL_ARGUMENT",
  "message":"Player &lt;player&gt; cannot be found under the specified agent: &lt;agent&gt;.",
  "data":NULL
}</t>
  </si>
  <si>
    <t>CASE-1-2-3</t>
  </si>
  <si>
    <t>Serial number is already in use</t>
  </si>
  <si>
    <t>Request Body (JSON):
{
  "sn":"&lt;an already-used serial number&gt;",
  "agent":"&lt;direct upline agent&gt;",
  "player":"&lt;player&gt;",
  "type":&lt;type of transfer&gt;,
  "amount":credit amount
}</t>
  </si>
  <si>
    <t>HTTP Status Code: 200
Response Body (JSON):
{
  "resultCode":"TRANS_EXISTED",
  "message":"sn: &lt;the already-used sn&gt; exist",
  "data":NULL
}</t>
  </si>
  <si>
    <t>1.3. GetTransferState</t>
  </si>
  <si>
    <t>API: /GetTransferState</t>
  </si>
  <si>
    <t>CASE-1-3-1</t>
  </si>
  <si>
    <t>Get the state of a credit transfer transaction</t>
  </si>
  <si>
    <t>Request Body (JSON):
{
  "sn":"&lt;serial number of a credit transfer transaction&gt;"
}</t>
  </si>
  <si>
    <t>HTTP Status Code: 200
Response Body (JSON):
{
  "resultCode":"OK",
  "message":NULL,
  "data":{
    "playerCreditBefore":&lt;player's balance before transfer&gt;,
    "playerCreditAfter":&lt;player's balance after transfer&gt;,
    "agentCreditBefore":&lt;agent's balance before transfer&gt;,
    "agentCreditAfter":&lt;agent's balance after transfer&gt;,
    "transferState":&lt;state of credit transfer transaction&gt;
  }
}</t>
  </si>
  <si>
    <t>CASE-1-3-2</t>
  </si>
  <si>
    <t>Transaction record not found</t>
  </si>
  <si>
    <t>Request Body (JSON):
{
  "sn":"&lt;a non-existing serial number&gt;"
}</t>
  </si>
  <si>
    <t>HTTP Status Code: 200
Response Body (JSON):
{
  "resultCode":"TRANS_NOT_EXIST",
  "message":"ptc sn: &lt;the non-existing sn&gt; not exist",
  "data":NULL
}</t>
  </si>
  <si>
    <t>Login AllBet Game</t>
  </si>
  <si>
    <t>1.4. Login</t>
  </si>
  <si>
    <t>API: /Login</t>
  </si>
  <si>
    <t>CASE-1-4-1</t>
  </si>
  <si>
    <t>Request Body (JSON):
{
  "player":"&lt;player&gt;"
}</t>
  </si>
  <si>
    <t>HTTP Status Code: 200
Response Body (JSON):
{
  "resultCode":"OK",
  "message":NULL,
  "data": {
      "gameLoginUrl":"&lt;login url&gt;"
    }
}</t>
  </si>
  <si>
    <t>CASE-1-4-2</t>
  </si>
  <si>
    <t>Login with specified language and return URL</t>
  </si>
  <si>
    <t>Request Body (JSON):
{
  "player":"&lt;player&gt;",
  "language":"&lt;system-supported language&gt;",
  "returnUrl":"&lt;return URL&gt;"
}</t>
  </si>
  <si>
    <t>HTTP Status Code: 200
Response Body (JSON):
{
  "resultCode":"OK",
  "message":NULL,
  "data": {
      "gameLoginUrl":"&lt;login url with the specified language and return URL&gt;"
    }
}</t>
  </si>
  <si>
    <t>CASE-1-4-3</t>
  </si>
  <si>
    <t>Enter game table directly</t>
  </si>
  <si>
    <t>Request Body (JSON):
{
  "player":"&lt;player&gt;",
  "tableName":"&lt;table name&gt;"
}</t>
  </si>
  <si>
    <t>HTTP Status Code: 200
Response Body (JSON):
{
  "resultCode":"OK",
  "message":NULL,
  "data": {
      "gameLoginUrl":"&lt;login url with the specified game hall (hallType), table name and enter type (enterType)&gt;"
    }
}</t>
  </si>
  <si>
    <t>1.5. Login Trial</t>
  </si>
  <si>
    <t>API: /LoginTrial</t>
  </si>
  <si>
    <t>CASE-1-5-1</t>
  </si>
  <si>
    <t>Login AllBet trial game with specified language and return URL</t>
  </si>
  <si>
    <t>Request Body (JSON):
{
  "targetUrl":"&lt;target URL&gt;",
  "language":"&lt;system-supported language&gt;",
  "returnUrl":"&lt;return URL&gt;"
}</t>
  </si>
  <si>
    <t>1.6. Logout</t>
  </si>
  <si>
    <t>API: /Logout</t>
  </si>
  <si>
    <t>CASE-1-6-1</t>
  </si>
  <si>
    <t>Log out a player</t>
  </si>
  <si>
    <t>1.7. Get Player Account Setting</t>
  </si>
  <si>
    <t>API: /GetPlayerSetting</t>
  </si>
  <si>
    <t>CASE-1-7-1</t>
  </si>
  <si>
    <t>Get player account setting</t>
  </si>
  <si>
    <t>HTTP Status Code: 200
Response Body (JSON):
{
  "resultCode":"OK",
  "message":NULL,
  "data":{
    "nickname":&lt;nickname&gt;,
    "generalHandicaps":&lt;array of general handicaps&gt;,
    "vipHandicap":"&lt;VIP handicap&gt;",
    "isAccountEnabled":&lt;account status&gt;,
    "isAllowedToBet":&lt;if this account allowed to bet&gt;
  }
}</t>
  </si>
  <si>
    <t>1.8. Modify Player Account Setting</t>
  </si>
  <si>
    <t>API: /ModifyPlayerSetting</t>
  </si>
  <si>
    <t>CASE-1-8-1</t>
  </si>
  <si>
    <t>Modify handicaps</t>
  </si>
  <si>
    <t>Request Body (JSON):
{
  "player":"&lt;player&gt;",
  "generalHandicaps":&lt;array of general handicap names&gt;,
  "vipHandicap":"&lt;VIP handicap name&gt;"
}</t>
  </si>
  <si>
    <t>CASE-1-8-2</t>
  </si>
  <si>
    <t>Modify account status</t>
  </si>
  <si>
    <t>Request Body (JSON):
{
  "player":"&lt;player&gt;",
  "isAccountEnabled":&lt;account status&gt;,
  "isAllowedToBet":&lt;if this account allowed to bet&gt;
}</t>
  </si>
  <si>
    <t>CASE-1-8-3</t>
  </si>
  <si>
    <t>Modify nickname</t>
  </si>
  <si>
    <t>Request Body (JSON):
{
  "player":"&lt;player&gt;",
  "nickname":"&lt;nickname&gt;"
}</t>
  </si>
  <si>
    <t>1.9. Get Agent’s Handicaps</t>
  </si>
  <si>
    <t>API: /GetAgentHandicaps</t>
  </si>
  <si>
    <t>CASE-1-9-1</t>
  </si>
  <si>
    <t>Request Body (JSON):
{
  "agent":"&lt;agent&gt;"
}</t>
  </si>
  <si>
    <t>HTTP Status Code: 200
Response Body (JSON):
{
  "resultCode":"OK",
  "message":NULL,
  "data":{
    "generalHandicaps":&lt;array of general handicaps&gt;,
    "vipHandicaps":&lt;array of VIP handicaps&gt;
  }
}
Handicap:
{
  "id":&lt;handicap ID&gt;,
  "name":"&lt;handicap name&gt;",
  "lowerLimit":"minimum bet limit",
  "upperLimit":"maxmium bet limit"
}</t>
  </si>
  <si>
    <t>1.10. Set Default Handicaps for Creating Player</t>
  </si>
  <si>
    <t>API: /SetDefaultHandicapsForCreatingPlayer</t>
  </si>
  <si>
    <t>CASE-1-10-1</t>
  </si>
  <si>
    <t>Set default handicaps for creating player</t>
  </si>
  <si>
    <t>Request Body (JSON):
{
  "agent":"&lt;agent account username&gt;",
  "generalHandicaps":&lt;array of general handicap names&gt;,
  "vipHandicap":"&lt;VIP handicap name&gt;"
}</t>
  </si>
  <si>
    <t>CASE-1-10-2</t>
  </si>
  <si>
    <t>Handicaps not found</t>
  </si>
  <si>
    <t>Request Body (JSON):
{
  "agent":"&lt;agent account username&gt;",
  "generalHandicaps":&lt;array of general handicap names not in upline agent's handicaps&gt;,
  "vipHandicap":"&lt;VIP handicap name&gt;"
}</t>
  </si>
  <si>
    <t>HTTP Status Code: 200
Response Body (JSON):
{
  "resultCode":"ILLEGAL_ARGUMENT",
  "message":"agent's handicaps not contains: [&lt;the specified handicap names&gt;]",
  "data":NULL
}</t>
  </si>
  <si>
    <t>1.11. Get Game Tables</t>
  </si>
  <si>
    <t>API: /GetGameTables</t>
  </si>
  <si>
    <t>CASE-1-11-1</t>
  </si>
  <si>
    <t>HTTP Status Code: 200
Response Body (JSON):
{
  "resultCode":"OK",
  "message":NULL,
  "data":{
    "tables":&lt;array of table info.&gt;
  }
}
Table Info:
{
  "tableName":"&lt;table name&gt;",
  "gameType":&lt;game type&gt;
}</t>
  </si>
  <si>
    <t>1.12. Get Maintenance State</t>
  </si>
  <si>
    <t>API: /GetMaintenanceState</t>
  </si>
  <si>
    <t>CASE-1-12-1</t>
  </si>
  <si>
    <t>Request Body (JSON): N/A</t>
  </si>
  <si>
    <t>HTTP Status Code: 200
Response Body (JSON):
{
  "resultCode":"OK",
  "message":NULL,
  "data":{
    "state":&lt;state of maintenance&gt;
  }
}</t>
  </si>
  <si>
    <t>1.13. Set Maintenance State</t>
  </si>
  <si>
    <t>API: /SetMaintenanceState</t>
  </si>
  <si>
    <t>CASE-1-13-1</t>
  </si>
  <si>
    <t>Set to maintenance</t>
  </si>
  <si>
    <t>Request Body (JSON):
{
  "state":1
}</t>
  </si>
  <si>
    <t>CASE-1-13-2</t>
  </si>
  <si>
    <t>Set to Normal</t>
  </si>
  <si>
    <t>Request Body (JSON):
{
   "state":0
}</t>
  </si>
  <si>
    <t>1.14. Get List of Online Players</t>
  </si>
  <si>
    <t>API: /GetOnlinePlayers</t>
  </si>
  <si>
    <t>CASE-1-14-1</t>
  </si>
  <si>
    <t>Get list of online players</t>
  </si>
  <si>
    <t>HTTP Status Code: 200
Response Body (JSON):
{
  "resultCode":"OK",
  "message":NULL,
  "data":{
    "players":&lt;array of online players&gt;
  }
}</t>
  </si>
  <si>
    <t>1.15. Get Players’ Credit Balances</t>
  </si>
  <si>
    <t>API: /GetBalances</t>
  </si>
  <si>
    <t>CASE-1-15-1</t>
  </si>
  <si>
    <t>Get balances of direct underline players</t>
  </si>
  <si>
    <t>Request Body (JSON):
{
  "agent":"&lt;agent&gt;",
  "pageSize":&lt;number of records shown in one single page&gt;,
  "pageIndex":&lt;page number&gt;,
  "recursion":0
}</t>
  </si>
  <si>
    <t>HTTP Status Code: 200
Response Body (JSON):
{
  "resultCode":"OK",
  "message":NULL,
  "data":{
    "list":&lt;array of players' credit balance info.&gt;,
    "count":&lt;total number of records"
  }
}
Credit Balance Info.:
{
  "player":"&lt;player&gt;",
  "amount":credit amount,
  "currency":"&lt;account's currency&gt;"
}</t>
  </si>
  <si>
    <t>CASE-1-15-2</t>
  </si>
  <si>
    <t>Get balances of all underline players</t>
  </si>
  <si>
    <t>Request Body (JSON):
{
  "agent":"&lt;agent&gt;",
  "pageSize":&lt;number of records shown in one single page&gt;,
  "pageIndex":&lt;page number&gt;,
  "recursion":1
}</t>
  </si>
  <si>
    <t>CASE-1-15-3</t>
  </si>
  <si>
    <t>Get balances of specified players</t>
  </si>
  <si>
    <t>Request Body (JSON):
{
  "agent":"&lt;agent&gt;",
  "pageSize":&lt;number of records shown in one single page&gt;,
  "pageIndex":&lt;page number&gt;,
  "recursion":&lt;direct / all underline players&gt;,
  "players":&lt;array of specified players&gt;
}</t>
  </si>
  <si>
    <t>HTTP Status Code: 200
Response Body (JSON):
{
  "resultCode":"OK",
  "message":NULL,
  "data":{
    "list":&lt;array of credit balance info. of the specified players&gt;,
    "count":&lt;total number of records"
  }
}
Credit Balance Info.:
{
  "player":"&lt;player&gt;",
  "amount":credit amount,
  "currency":"&lt;account's currency&gt;"
}</t>
  </si>
  <si>
    <t>1.16. Get Winning Bet Types</t>
  </si>
  <si>
    <t>API: /QueryWinningBetType</t>
  </si>
  <si>
    <t>CASE-1-16-1</t>
  </si>
  <si>
    <t>Get list of winning bet types from the specified game result</t>
  </si>
  <si>
    <t>Request Body (JSON):
{
  "gameType":&lt;game type&gt;,
  "gameResult":"&lt;game result&gt;"
}</t>
  </si>
  <si>
    <t>HTTP Status Code: 200
Response Body (JSON):
{
  "resultCode":"OK",
  "message":NULL,
  "data":{
    "betTypes":&lt;array of winning bet types&gt;
  }
}</t>
  </si>
  <si>
    <t>CASE-1-16-2</t>
  </si>
  <si>
    <t>Game type does not match with game result</t>
  </si>
  <si>
    <t>HTTP Status Code: 200
Response Body (JSON):
{
  "resultCode":"ILLEGAL_ARGUMENT",
  "message":"invalid format, &lt;the specified game result&gt;",
  "data":NULL
}</t>
  </si>
  <si>
    <t>2.1. Query Bet Record by betNum</t>
  </si>
  <si>
    <t>API: /QueryBetRecordByBetNum</t>
  </si>
  <si>
    <t>CASE-2-1-1</t>
  </si>
  <si>
    <t>Query one single bet record by betNum</t>
  </si>
  <si>
    <t>Request Body (JSON):
{
  "betNum":&lt;betNum&gt;
}</t>
  </si>
  <si>
    <t>HTTP Status Code: 200
Response Body (JSON):
{
  "resultCode":"OK",
  "message":NULL,
  "data":{
    "player":"&lt;player&gt;",
    "betNum":&lt;betNum&gt;,
    "betTime":"betting time",
    "gameRoundId":&lt;game round ID&gt;,
    "betAmount":&lt;bet amount&gt;,
    "validAmount":&lt;valid bet amount&gt;,
    "winOrLossAmount":&lt;win/loss amount&gt;,
    "gameType":&lt;game type&gt;,
    "status":&lt;bet record statue&gt;,
    "currency":"&lt;currency&gt;",
    "betType":&lt;bet type&gt;,
    "gameResult":"&lt;game result&gt;",
    "exchangeRate":&lt;exchange rate&gt;,
    "gameRoundEndTime":"&lt;game round end time&gt;",
    "commission":&lt;commission&gt;,
    "tableName":"&lt;table name&gt;",
    "gameRoundStartTime":"&lt;game round end time&gt;",
    "gameResult2":"&lt;game result 2&gt;",
    "appType":&lt;app type&gt;,
    "betMethod":&lt;bet method&gt;,
    "ip":"&lt;player's IP&gt;",
    "deposit":&lt;deposit&gt;
  }
}</t>
  </si>
  <si>
    <t>CASE-2-1-2</t>
  </si>
  <si>
    <t>Bet record does not exist</t>
  </si>
  <si>
    <t>Request Body (JSON):
{
  "betNum":&lt;a non-existing betNum&gt;
}</t>
  </si>
  <si>
    <t>HTTP Status Code: 200
Response Body (JSON):
{
  "resultCode":"OK",
  "message":"betNum: &lt;specified betNum&gt; not found",
  "data":NULL
}</t>
  </si>
  <si>
    <t>2.2. Quick Query Bet Records</t>
  </si>
  <si>
    <t>API: /QuickQueryBetRecords</t>
  </si>
  <si>
    <t>CASE-2-2-1</t>
  </si>
  <si>
    <t>Query bet records in one specific minute within 90 days</t>
  </si>
  <si>
    <t>Request Body (JSON):
{
  "agent":&lt;agent&gt;,
  "date":&lt;date of query&gt;,
  "startTime":&lt;start time of query&gt;
}</t>
  </si>
  <si>
    <t>HTTP Status Code: 200
Response Body (JSON):
{
  "resultCode":"OK",
  "message":NULL,
  "data":{
    "startDateTime":"&lt;start time of query&gt;",
    "endDateTime":"&lt;end time of query&gt;",
    "list":&lt;array of bet records&gt;
  }
}</t>
  </si>
  <si>
    <t>2.3. Paging Query Bet Records</t>
  </si>
  <si>
    <t>API: /PagingQueryBetRecords</t>
  </si>
  <si>
    <t>CASE-2-3-1</t>
  </si>
  <si>
    <t>Query bet records in maximum of 1 hour within 90 days</t>
  </si>
  <si>
    <t>Request Body (JSON):
{
  "agent":"&lt;agent&gt;",
  "date":"&lt;date of query&gt;",
  "startTime":"&lt;start time of query&gt;",
  "endTime":"&lt;end time of query&gt;",
  "pageNum":&lt;page number&gt;,
  "pageSize":&lt;number of records shown in one single page&gt;
}</t>
  </si>
  <si>
    <t>HTTP Status Code: 200
Response Body (JSON):
{
  "resultCode":"OK",
  "message":NULL,
  "data":{
    "startDateTime":"&lt;start time of query&gt;",
    "endDateTime":"&lt;end time of query&gt;",
    "total":&lt;total number of records&gt;,
    "pageSize":&lt;specified page size&gt;,
    "pageNum":&lt;specified page number&gt;,
    "list":&lt;array of bet records&gt;
  }
}</t>
  </si>
  <si>
    <t>2.4. Query Modified Bet Records</t>
  </si>
  <si>
    <t>API: /QueryModifiedBetRecords</t>
  </si>
  <si>
    <t>CASE-2-4-1</t>
  </si>
  <si>
    <t>Query modified bet records in maximum of 1 hour within 90 days</t>
  </si>
  <si>
    <t>Request Body (JSON):
{
  "agent":"&lt;agent&gt;",
  "date":"&lt;date of query&gt;",
  "startTime":"&lt;start time of query&gt;",
  "endTime":"&lt;end time of query&gt;"
}</t>
  </si>
  <si>
    <t>HTTP Status Code: 200
Response Body (JSON):
{
  "resultCode":"OK",
  "message":NULL,
  "data":{
    "startDateTime":"&lt;start time of query&gt;",
    "endDateTime":"&lt;end time of query&gt;",
    "total":&lt;total number of records&gt;,
    "list":&lt;array of bet records&gt;
  }
}</t>
  </si>
  <si>
    <t>2.5. Paging Query Event Records</t>
  </si>
  <si>
    <t>API: /PagingQueryEventRecords</t>
  </si>
  <si>
    <t>CASE-2-5-1</t>
  </si>
  <si>
    <t>Query event records within the last 90 days</t>
  </si>
  <si>
    <t>Request Body (JSON):
{
  "eventType":&lt;event type&gt;,
  "eventCode":"&lt;event identification code&gt;",
  "agent":"&lt;agent account username&gt;",
  "startDateTime":"&lt;query start time&gt;",
  "endDateTime":"&lt;query end time&gt;",
  "pageNum":&lt;page number&gt;,
  "pageSize":&lt;number of records shown in one single page&gt;
}</t>
  </si>
  <si>
    <t>HTTP Status Code: 200
Response Body (JSON):
{
  "resultCode":"OK",
  "message":NULL,
  "data":{
    "startDateTime":"&lt;start time of query&gt;",
    "endDateTime":"&lt;end time of query&gt;",
    "total":&lt;total number of records&gt;,
    "pageNum":&lt;page number&gt;,
    "pageSize":&lt;number of records shown in one single page&gt;,
    "list":&lt;array of event records&gt;
  }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</si>
</sst>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28.0"/>
      <color rgb="FF000000"/>
      <name val="Arial"/>
    </font>
    <font>
      <sz val="12.0"/>
      <color rgb="FF000000"/>
      <name val="Arial"/>
    </font>
    <font>
      <b/>
      <sz val="16.0"/>
      <color rgb="FF000000"/>
      <name val="Arial"/>
    </font>
    <font>
      <sz val="10.0"/>
      <color rgb="FF000000"/>
      <name val="Arial"/>
    </font>
    <font>
      <b/>
      <sz val="15.0"/>
      <color rgb="FF000000"/>
      <name val="Arial"/>
    </font>
    <font>
      <b/>
      <sz val="12.0"/>
      <color rgb="FF000000"/>
      <name val="Arial"/>
    </font>
    <font>
      <b/>
      <sz val="12.0"/>
      <color theme="1"/>
      <name val="Arial"/>
    </font>
    <font>
      <b/>
      <sz val="28.0"/>
      <color rgb="FF000000"/>
      <name val="Arial"/>
    </font>
    <font>
      <sz val="10.0"/>
      <color rgb="FFFFFFFF"/>
      <name val="Arial"/>
    </font>
    <font>
      <sz val="26.0"/>
      <color rgb="FF000000"/>
      <name val="Arial"/>
    </font>
    <font>
      <b/>
      <sz val="10.0"/>
      <color rgb="FF000000"/>
      <name val="Arial"/>
    </font>
    <font/>
    <font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9CC2E5"/>
        <bgColor rgb="FF9CC2E5"/>
      </patternFill>
    </fill>
    <fill>
      <patternFill patternType="solid">
        <fgColor rgb="FFE2EFD9"/>
        <bgColor rgb="FFE2EFD9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</fills>
  <borders count="4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top"/>
    </xf>
    <xf borderId="0" fillId="0" fontId="4" numFmtId="0" xfId="0" applyAlignment="1" applyFont="1">
      <alignment horizontal="left" shrinkToFit="0" vertical="top" wrapText="1"/>
    </xf>
    <xf borderId="0" fillId="0" fontId="5" numFmtId="0" xfId="0" applyFont="1"/>
    <xf borderId="1" fillId="0" fontId="6" numFmtId="0" xfId="0" applyAlignment="1" applyBorder="1" applyFont="1">
      <alignment horizontal="left" vertical="center"/>
    </xf>
    <xf borderId="2" fillId="0" fontId="6" numFmtId="0" xfId="0" applyAlignment="1" applyBorder="1" applyFont="1">
      <alignment horizontal="left" vertical="center"/>
    </xf>
    <xf borderId="2" fillId="0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left" vertical="center"/>
    </xf>
    <xf borderId="0" fillId="0" fontId="2" numFmtId="0" xfId="0" applyAlignment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left" vertical="center"/>
    </xf>
    <xf borderId="6" fillId="0" fontId="7" numFmtId="0" xfId="0" applyAlignment="1" applyBorder="1" applyFont="1">
      <alignment horizontal="left" vertical="top"/>
    </xf>
    <xf borderId="0" fillId="0" fontId="2" numFmtId="0" xfId="0" applyAlignment="1" applyFont="1">
      <alignment horizontal="left" vertical="top"/>
    </xf>
    <xf borderId="7" fillId="0" fontId="2" numFmtId="0" xfId="0" applyAlignment="1" applyBorder="1" applyFont="1">
      <alignment horizontal="left" vertical="top"/>
    </xf>
    <xf borderId="8" fillId="0" fontId="2" numFmtId="0" xfId="0" applyAlignment="1" applyBorder="1" applyFont="1">
      <alignment horizontal="left" vertical="top"/>
    </xf>
    <xf borderId="0" fillId="0" fontId="2" numFmtId="0" xfId="0" applyFont="1"/>
    <xf borderId="9" fillId="2" fontId="8" numFmtId="0" xfId="0" applyAlignment="1" applyBorder="1" applyFill="1" applyFont="1">
      <alignment vertical="top"/>
    </xf>
    <xf borderId="10" fillId="2" fontId="9" numFmtId="0" xfId="0" applyAlignment="1" applyBorder="1" applyFont="1">
      <alignment horizontal="left" shrinkToFit="0" vertical="top" wrapText="1"/>
    </xf>
    <xf borderId="11" fillId="2" fontId="9" numFmtId="0" xfId="0" applyAlignment="1" applyBorder="1" applyFont="1">
      <alignment horizontal="left" shrinkToFit="0" vertical="top" wrapText="1"/>
    </xf>
    <xf borderId="9" fillId="3" fontId="10" numFmtId="0" xfId="0" applyAlignment="1" applyBorder="1" applyFill="1" applyFont="1">
      <alignment vertical="top"/>
    </xf>
    <xf borderId="10" fillId="3" fontId="4" numFmtId="0" xfId="0" applyAlignment="1" applyBorder="1" applyFont="1">
      <alignment vertical="top"/>
    </xf>
    <xf borderId="10" fillId="3" fontId="9" numFmtId="0" xfId="0" applyAlignment="1" applyBorder="1" applyFont="1">
      <alignment horizontal="left" shrinkToFit="0" vertical="top" wrapText="1"/>
    </xf>
    <xf borderId="11" fillId="3" fontId="9" numFmtId="0" xfId="0" applyAlignment="1" applyBorder="1" applyFont="1">
      <alignment horizontal="left" shrinkToFit="0" vertical="top" wrapText="1"/>
    </xf>
    <xf borderId="12" fillId="4" fontId="4" numFmtId="0" xfId="0" applyAlignment="1" applyBorder="1" applyFill="1" applyFont="1">
      <alignment vertical="top"/>
    </xf>
    <xf borderId="13" fillId="4" fontId="4" numFmtId="0" xfId="0" applyAlignment="1" applyBorder="1" applyFont="1">
      <alignment vertical="top"/>
    </xf>
    <xf borderId="13" fillId="4" fontId="9" numFmtId="0" xfId="0" applyAlignment="1" applyBorder="1" applyFont="1">
      <alignment horizontal="left" shrinkToFit="0" vertical="top" wrapText="1"/>
    </xf>
    <xf borderId="14" fillId="4" fontId="9" numFmtId="0" xfId="0" applyAlignment="1" applyBorder="1" applyFont="1">
      <alignment horizontal="left" shrinkToFit="0" vertical="top" wrapText="1"/>
    </xf>
    <xf borderId="15" fillId="5" fontId="11" numFmtId="0" xfId="0" applyAlignment="1" applyBorder="1" applyFill="1" applyFont="1">
      <alignment horizontal="left" shrinkToFit="0" vertical="top" wrapText="1"/>
    </xf>
    <xf borderId="16" fillId="5" fontId="11" numFmtId="0" xfId="0" applyAlignment="1" applyBorder="1" applyFont="1">
      <alignment horizontal="left" shrinkToFit="0" vertical="top" wrapText="1"/>
    </xf>
    <xf borderId="17" fillId="5" fontId="11" numFmtId="0" xfId="0" applyAlignment="1" applyBorder="1" applyFont="1">
      <alignment horizontal="left" shrinkToFit="0" vertical="top" wrapText="1"/>
    </xf>
    <xf borderId="18" fillId="5" fontId="11" numFmtId="0" xfId="0" applyAlignment="1" applyBorder="1" applyFont="1">
      <alignment horizontal="left" shrinkToFit="0" vertical="top" wrapText="1"/>
    </xf>
    <xf borderId="19" fillId="5" fontId="11" numFmtId="0" xfId="0" applyAlignment="1" applyBorder="1" applyFont="1">
      <alignment shrinkToFit="0" vertical="top" wrapText="1"/>
    </xf>
    <xf borderId="20" fillId="0" fontId="12" numFmtId="0" xfId="0" applyBorder="1" applyFont="1"/>
    <xf borderId="21" fillId="0" fontId="12" numFmtId="0" xfId="0" applyBorder="1" applyFont="1"/>
    <xf borderId="22" fillId="0" fontId="12" numFmtId="0" xfId="0" applyBorder="1" applyFont="1"/>
    <xf borderId="23" fillId="0" fontId="12" numFmtId="0" xfId="0" applyBorder="1" applyFont="1"/>
    <xf borderId="24" fillId="5" fontId="11" numFmtId="0" xfId="0" applyAlignment="1" applyBorder="1" applyFont="1">
      <alignment horizontal="left" shrinkToFit="0" vertical="top" wrapText="1"/>
    </xf>
    <xf borderId="25" fillId="0" fontId="12" numFmtId="0" xfId="0" applyBorder="1" applyFont="1"/>
    <xf borderId="26" fillId="5" fontId="11" numFmtId="0" xfId="0" applyAlignment="1" applyBorder="1" applyFont="1">
      <alignment horizontal="left" shrinkToFit="0" vertical="top" wrapText="1"/>
    </xf>
    <xf borderId="27" fillId="5" fontId="11" numFmtId="0" xfId="0" applyAlignment="1" applyBorder="1" applyFont="1">
      <alignment horizontal="left" shrinkToFit="0" vertical="top" wrapText="1"/>
    </xf>
    <xf borderId="28" fillId="0" fontId="4" numFmtId="0" xfId="0" applyAlignment="1" applyBorder="1" applyFont="1">
      <alignment horizontal="left" shrinkToFit="0" vertical="top" wrapText="1"/>
    </xf>
    <xf borderId="29" fillId="0" fontId="4" numFmtId="0" xfId="0" applyAlignment="1" applyBorder="1" applyFont="1">
      <alignment horizontal="left" shrinkToFit="0" vertical="top" wrapText="1"/>
    </xf>
    <xf borderId="30" fillId="0" fontId="4" numFmtId="0" xfId="0" applyAlignment="1" applyBorder="1" applyFont="1">
      <alignment horizontal="left" shrinkToFit="0" vertical="top" wrapText="1"/>
    </xf>
    <xf borderId="22" fillId="0" fontId="4" numFmtId="0" xfId="0" applyAlignment="1" applyBorder="1" applyFont="1">
      <alignment horizontal="left" shrinkToFit="0" vertical="top" wrapText="1"/>
    </xf>
    <xf borderId="26" fillId="0" fontId="4" numFmtId="0" xfId="0" applyAlignment="1" applyBorder="1" applyFont="1">
      <alignment horizontal="left" shrinkToFit="0" vertical="top" wrapText="1"/>
    </xf>
    <xf borderId="31" fillId="0" fontId="4" numFmtId="0" xfId="0" applyAlignment="1" applyBorder="1" applyFont="1">
      <alignment horizontal="left" shrinkToFit="0" vertical="top" wrapText="1"/>
    </xf>
    <xf borderId="27" fillId="0" fontId="4" numFmtId="0" xfId="0" applyAlignment="1" applyBorder="1" applyFont="1">
      <alignment horizontal="left" shrinkToFit="0" vertical="top" wrapText="1"/>
    </xf>
    <xf borderId="32" fillId="0" fontId="4" numFmtId="0" xfId="0" applyAlignment="1" applyBorder="1" applyFont="1">
      <alignment horizontal="left" shrinkToFit="0" vertical="top" wrapText="1"/>
    </xf>
    <xf borderId="33" fillId="0" fontId="4" numFmtId="0" xfId="0" applyAlignment="1" applyBorder="1" applyFont="1">
      <alignment horizontal="left" shrinkToFit="0" vertical="top" wrapText="1"/>
    </xf>
    <xf borderId="34" fillId="0" fontId="4" numFmtId="0" xfId="0" applyAlignment="1" applyBorder="1" applyFont="1">
      <alignment horizontal="left" shrinkToFit="0" vertical="top" wrapText="1"/>
    </xf>
    <xf borderId="35" fillId="0" fontId="4" numFmtId="0" xfId="0" applyAlignment="1" applyBorder="1" applyFont="1">
      <alignment horizontal="left" shrinkToFit="0" vertical="top" wrapText="1"/>
    </xf>
    <xf borderId="36" fillId="0" fontId="4" numFmtId="0" xfId="0" applyAlignment="1" applyBorder="1" applyFont="1">
      <alignment horizontal="left" shrinkToFit="0" vertical="top" wrapText="1"/>
    </xf>
    <xf borderId="37" fillId="0" fontId="4" numFmtId="0" xfId="0" applyAlignment="1" applyBorder="1" applyFont="1">
      <alignment horizontal="left" shrinkToFit="0" vertical="top" wrapText="1"/>
    </xf>
    <xf borderId="23" fillId="0" fontId="4" numFmtId="0" xfId="0" applyAlignment="1" applyBorder="1" applyFont="1">
      <alignment horizontal="left" shrinkToFit="0" vertical="top" wrapText="1"/>
    </xf>
    <xf borderId="38" fillId="0" fontId="4" numFmtId="0" xfId="0" applyAlignment="1" applyBorder="1" applyFont="1">
      <alignment horizontal="left" shrinkToFit="0" vertical="top" wrapText="1"/>
    </xf>
    <xf borderId="39" fillId="6" fontId="4" numFmtId="0" xfId="0" applyAlignment="1" applyBorder="1" applyFill="1" applyFont="1">
      <alignment horizontal="left" shrinkToFit="0" vertical="top" wrapText="1"/>
    </xf>
    <xf borderId="24" fillId="6" fontId="4" numFmtId="0" xfId="0" applyAlignment="1" applyBorder="1" applyFont="1">
      <alignment horizontal="left" shrinkToFit="0" vertical="top" wrapText="1"/>
    </xf>
    <xf borderId="24" fillId="6" fontId="13" numFmtId="0" xfId="0" applyAlignment="1" applyBorder="1" applyFont="1">
      <alignment horizontal="left" shrinkToFit="0" vertical="top" wrapText="1"/>
    </xf>
    <xf borderId="24" fillId="7" fontId="4" numFmtId="0" xfId="0" applyAlignment="1" applyBorder="1" applyFill="1" applyFont="1">
      <alignment horizontal="left" shrinkToFit="0" vertical="top" wrapText="1"/>
    </xf>
    <xf borderId="40" fillId="7" fontId="4" numFmtId="0" xfId="0" applyAlignment="1" applyBorder="1" applyFont="1">
      <alignment horizontal="left" shrinkToFit="0" vertical="top" wrapText="1"/>
    </xf>
    <xf borderId="41" fillId="8" fontId="4" numFmtId="0" xfId="0" applyAlignment="1" applyBorder="1" applyFill="1" applyFont="1">
      <alignment horizontal="left" shrinkToFit="0" vertical="top" wrapText="1"/>
    </xf>
    <xf borderId="42" fillId="0" fontId="12" numFmtId="0" xfId="0" applyBorder="1" applyFont="1"/>
    <xf borderId="43" fillId="0" fontId="12" numFmtId="0" xfId="0" applyBorder="1" applyFont="1"/>
    <xf borderId="44" fillId="5" fontId="11" numFmtId="0" xfId="0" applyAlignment="1" applyBorder="1" applyFont="1">
      <alignment horizontal="left" shrinkToFit="0" vertical="top" wrapText="1"/>
    </xf>
    <xf borderId="45" fillId="0" fontId="12" numFmtId="0" xfId="0" applyBorder="1" applyFont="1"/>
    <xf borderId="46" fillId="5" fontId="11" numFmtId="0" xfId="0" applyAlignment="1" applyBorder="1" applyFont="1">
      <alignment horizontal="left" shrinkToFit="0" vertical="top" wrapText="1"/>
    </xf>
    <xf borderId="47" fillId="5" fontId="11" numFmtId="0" xfId="0" applyAlignment="1" applyBorder="1" applyFont="1">
      <alignment horizontal="left" shrinkToFit="0" vertical="top" wrapText="1"/>
    </xf>
    <xf borderId="12" fillId="3" fontId="10" numFmtId="0" xfId="0" applyAlignment="1" applyBorder="1" applyFont="1">
      <alignment vertical="top"/>
    </xf>
    <xf borderId="13" fillId="3" fontId="4" numFmtId="0" xfId="0" applyAlignment="1" applyBorder="1" applyFont="1">
      <alignment vertical="top"/>
    </xf>
    <xf borderId="13" fillId="3" fontId="9" numFmtId="0" xfId="0" applyAlignment="1" applyBorder="1" applyFont="1">
      <alignment horizontal="left" shrinkToFit="0" vertical="top" wrapText="1"/>
    </xf>
    <xf borderId="14" fillId="3" fontId="9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4"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rgb="FFC00000"/>
          <bgColor rgb="FFC00000"/>
        </patternFill>
      </fill>
      <border/>
    </dxf>
    <dxf>
      <font/>
      <fill>
        <patternFill patternType="solid">
          <fgColor rgb="FF7030A0"/>
          <bgColor rgb="FF7030A0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50.75"/>
    <col customWidth="1" min="3" max="3" width="30.75"/>
    <col customWidth="1" min="4" max="7" width="15.75"/>
    <col customWidth="1" min="8" max="26" width="8.63"/>
  </cols>
  <sheetData>
    <row r="1" ht="12.75" customHeight="1"/>
    <row r="2" ht="39.75" customHeight="1">
      <c r="B2" s="1" t="s">
        <v>0</v>
      </c>
      <c r="C2" s="1"/>
      <c r="F2" s="2"/>
      <c r="G2" s="2"/>
    </row>
    <row r="3" ht="19.5" customHeight="1">
      <c r="B3" s="3" t="s">
        <v>1</v>
      </c>
      <c r="C3" s="3"/>
      <c r="D3" s="4"/>
      <c r="E3" s="4"/>
      <c r="F3" s="2"/>
      <c r="G3" s="2"/>
    </row>
    <row r="4" ht="19.5" customHeight="1">
      <c r="B4" s="3"/>
      <c r="C4" s="3"/>
      <c r="D4" s="4"/>
      <c r="E4" s="4"/>
      <c r="F4" s="2"/>
      <c r="G4" s="2"/>
    </row>
    <row r="5" ht="19.5" customHeight="1">
      <c r="F5" s="2"/>
      <c r="G5" s="2"/>
    </row>
    <row r="6" ht="19.5" customHeight="1">
      <c r="F6" s="2"/>
      <c r="G6" s="2"/>
    </row>
    <row r="7" ht="19.5" customHeight="1">
      <c r="F7" s="2"/>
      <c r="G7" s="2"/>
    </row>
    <row r="8" ht="19.5" customHeight="1">
      <c r="B8" s="5"/>
      <c r="C8" s="5"/>
      <c r="F8" s="2"/>
      <c r="G8" s="2"/>
    </row>
    <row r="9" ht="19.5" customHeight="1">
      <c r="F9" s="2"/>
      <c r="G9" s="2"/>
    </row>
    <row r="10" ht="19.5" customHeight="1">
      <c r="B10" s="6" t="s">
        <v>2</v>
      </c>
      <c r="C10" s="7" t="s">
        <v>3</v>
      </c>
      <c r="D10" s="8" t="s">
        <v>4</v>
      </c>
      <c r="E10" s="8" t="s">
        <v>5</v>
      </c>
      <c r="F10" s="8" t="s">
        <v>6</v>
      </c>
      <c r="G10" s="9" t="s">
        <v>7</v>
      </c>
    </row>
    <row r="11" ht="19.5" customHeight="1">
      <c r="B11" s="10" t="str">
        <f>'Create Player and Transfer'!A1</f>
        <v>Create Player Account and Transfer Credit</v>
      </c>
      <c r="C11" s="2" t="s">
        <v>8</v>
      </c>
      <c r="D11" s="11">
        <f>'Create Player and Transfer'!A21</f>
        <v>7</v>
      </c>
      <c r="E11" s="11">
        <f>'Create Player and Transfer'!E21</f>
        <v>0</v>
      </c>
      <c r="F11" s="11">
        <f>'Create Player and Transfer'!F21</f>
        <v>0</v>
      </c>
      <c r="G11" s="12">
        <f>'Create Player and Transfer'!G21</f>
        <v>0</v>
      </c>
    </row>
    <row r="12" ht="19.5" customHeight="1">
      <c r="B12" s="10" t="str">
        <f>Login!A1</f>
        <v>Login AllBet Game</v>
      </c>
      <c r="C12" s="2" t="s">
        <v>9</v>
      </c>
      <c r="D12" s="11">
        <f>Login!A19</f>
        <v>5</v>
      </c>
      <c r="E12" s="11">
        <f>Login!E19</f>
        <v>0</v>
      </c>
      <c r="F12" s="11">
        <f>Login!F19</f>
        <v>0</v>
      </c>
      <c r="G12" s="12">
        <f>Login!G19</f>
        <v>0</v>
      </c>
    </row>
    <row r="13" ht="19.5" customHeight="1">
      <c r="B13" s="10" t="str">
        <f>'Player Account Management'!A1</f>
        <v>Player Account Management</v>
      </c>
      <c r="C13" s="2" t="s">
        <v>10</v>
      </c>
      <c r="D13" s="11">
        <f>'Player Account Management'!A25</f>
        <v>7</v>
      </c>
      <c r="E13" s="11" t="str">
        <f>'Player Account Management'!F24</f>
        <v/>
      </c>
      <c r="F13" s="11">
        <f>'Player Account Management'!F25</f>
        <v>0</v>
      </c>
      <c r="G13" s="12">
        <f>'Player Account Management'!G25</f>
        <v>0</v>
      </c>
    </row>
    <row r="14" ht="19.5" customHeight="1">
      <c r="B14" s="10" t="str">
        <f>'Agent Operation'!A1</f>
        <v>Agent Operation</v>
      </c>
      <c r="C14" s="2" t="s">
        <v>11</v>
      </c>
      <c r="D14" s="11">
        <f>'Agent Operation'!A36</f>
        <v>10</v>
      </c>
      <c r="E14" s="11">
        <f>'Agent Operation'!E36</f>
        <v>0</v>
      </c>
      <c r="F14" s="11">
        <f>'Agent Operation'!F36</f>
        <v>0</v>
      </c>
      <c r="G14" s="12">
        <f>'Agent Operation'!G36</f>
        <v>0</v>
      </c>
    </row>
    <row r="15" ht="19.5" customHeight="1">
      <c r="B15" s="10" t="str">
        <f>'Record Query'!A1</f>
        <v>Record Query</v>
      </c>
      <c r="C15" s="2" t="s">
        <v>12</v>
      </c>
      <c r="D15" s="11">
        <f>'Record Query'!A30</f>
        <v>6</v>
      </c>
      <c r="E15" s="11">
        <f>'Record Query'!E30</f>
        <v>0</v>
      </c>
      <c r="F15" s="11">
        <f>'Record Query'!F30</f>
        <v>0</v>
      </c>
      <c r="G15" s="12">
        <f>'Record Query'!G30</f>
        <v>0</v>
      </c>
    </row>
    <row r="16" ht="19.5" customHeight="1">
      <c r="B16" s="13" t="s">
        <v>13</v>
      </c>
      <c r="C16" s="14"/>
      <c r="D16" s="8">
        <f t="shared" ref="D16:G16" si="1">SUM(D11:D15)</f>
        <v>35</v>
      </c>
      <c r="E16" s="8">
        <f t="shared" si="1"/>
        <v>0</v>
      </c>
      <c r="F16" s="8">
        <f t="shared" si="1"/>
        <v>0</v>
      </c>
      <c r="G16" s="9">
        <f t="shared" si="1"/>
        <v>0</v>
      </c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50.75"/>
    <col customWidth="1" min="6" max="6" width="9.13"/>
    <col customWidth="1" min="7" max="26" width="8.63"/>
  </cols>
  <sheetData>
    <row r="1" ht="18.0" customHeight="1">
      <c r="A1" s="15" t="str">
        <f>'Create Player and Transfer'!A1</f>
        <v>Create Player Account and Transfer Credit</v>
      </c>
      <c r="B1" s="15" t="str">
        <f>Login!A1</f>
        <v>Login AllBet Game</v>
      </c>
      <c r="C1" s="15" t="str">
        <f>'Player Account Management'!A1</f>
        <v>Player Account Management</v>
      </c>
      <c r="D1" s="15" t="str">
        <f>'Agent Operation'!A1</f>
        <v>Agent Operation</v>
      </c>
      <c r="E1" s="15" t="str">
        <f>'Record Query'!A1</f>
        <v>Record Query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8.0" customHeight="1">
      <c r="A2" s="17" t="str">
        <f>'Create Player and Transfer'!A2</f>
        <v>1.1. Check or Create</v>
      </c>
      <c r="B2" s="17" t="str">
        <f>Login!A2</f>
        <v>1.4. Login</v>
      </c>
      <c r="C2" s="17" t="str">
        <f>'Player Account Management'!A2</f>
        <v>1.7. Get Player Account Setting</v>
      </c>
      <c r="D2" s="17" t="str">
        <f>'Agent Operation'!A2</f>
        <v>1.11. Get Game Tables</v>
      </c>
      <c r="E2" s="17" t="str">
        <f>'Record Query'!A2</f>
        <v>2.1. Query Bet Record by betNum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8.0" customHeight="1">
      <c r="A3" s="17" t="str">
        <f>'Create Player and Transfer'!A8</f>
        <v>1.2. Transfer</v>
      </c>
      <c r="B3" s="17" t="str">
        <f>Login!A9</f>
        <v>1.5. Login Trial</v>
      </c>
      <c r="C3" s="17" t="str">
        <f>'Player Account Management'!A7</f>
        <v>1.8. Modify Player Account Setting</v>
      </c>
      <c r="D3" s="17" t="str">
        <f>'Agent Operation'!A7</f>
        <v>1.12. Get Maintenance State</v>
      </c>
      <c r="E3" s="17" t="str">
        <f>'Record Query'!A8</f>
        <v>2.2. Quick Query Bet Records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8.0" customHeight="1">
      <c r="A4" s="17" t="str">
        <f>'Create Player and Transfer'!A15</f>
        <v>1.3. GetTransferState</v>
      </c>
      <c r="B4" s="17" t="str">
        <f>Login!A14</f>
        <v>1.6. Logout</v>
      </c>
      <c r="C4" s="17" t="str">
        <f>'Player Account Management'!A14</f>
        <v>1.9. Get Agent’s Handicaps</v>
      </c>
      <c r="D4" s="17" t="str">
        <f>'Agent Operation'!A12</f>
        <v>1.13. Set Maintenance State</v>
      </c>
      <c r="E4" s="17" t="str">
        <f>'Record Query'!A13</f>
        <v>2.3. Paging Query Bet Records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8.0" customHeight="1">
      <c r="A5" s="17"/>
      <c r="B5" s="17"/>
      <c r="C5" s="17" t="str">
        <f>'Player Account Management'!A19</f>
        <v>1.10. Set Default Handicaps for Creating Player</v>
      </c>
      <c r="D5" s="17" t="str">
        <f>'Agent Operation'!A18</f>
        <v>1.14. Get List of Online Players</v>
      </c>
      <c r="E5" s="17" t="str">
        <f>'Record Query'!A19</f>
        <v>2.4. Query Modified Bet Records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8.0" customHeight="1">
      <c r="A6" s="17"/>
      <c r="B6" s="17"/>
      <c r="C6" s="17"/>
      <c r="D6" s="17" t="str">
        <f>'Agent Operation'!A23</f>
        <v>1.15. Get Players’ Credit Balances</v>
      </c>
      <c r="E6" s="17" t="str">
        <f>'Record Query'!A25</f>
        <v>2.5. Paging Query Event Records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8.0" customHeight="1">
      <c r="A7" s="18"/>
      <c r="B7" s="18"/>
      <c r="C7" s="18"/>
      <c r="D7" s="18"/>
      <c r="E7" s="18" t="s">
        <v>14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30.75"/>
    <col customWidth="1" min="3" max="3" width="50.75"/>
    <col customWidth="1" min="4" max="4" width="55.75"/>
    <col customWidth="1" min="5" max="5" width="10.75"/>
    <col customWidth="1" min="6" max="7" width="50.75"/>
    <col customWidth="1" min="8" max="26" width="8.63"/>
  </cols>
  <sheetData>
    <row r="1" ht="79.5" customHeight="1">
      <c r="A1" s="20" t="s">
        <v>15</v>
      </c>
      <c r="B1" s="21"/>
      <c r="C1" s="21"/>
      <c r="D1" s="21"/>
      <c r="E1" s="21"/>
      <c r="F1" s="21"/>
      <c r="G1" s="22"/>
    </row>
    <row r="2" ht="49.5" customHeight="1">
      <c r="A2" s="23" t="s">
        <v>16</v>
      </c>
      <c r="B2" s="24"/>
      <c r="C2" s="24"/>
      <c r="D2" s="25"/>
      <c r="E2" s="25"/>
      <c r="F2" s="25"/>
      <c r="G2" s="26"/>
    </row>
    <row r="3" ht="19.5" customHeight="1">
      <c r="A3" s="27" t="s">
        <v>17</v>
      </c>
      <c r="B3" s="28"/>
      <c r="C3" s="28"/>
      <c r="D3" s="29"/>
      <c r="E3" s="29"/>
      <c r="F3" s="29"/>
      <c r="G3" s="30"/>
    </row>
    <row r="4" ht="19.5" customHeight="1">
      <c r="A4" s="31" t="s">
        <v>18</v>
      </c>
      <c r="B4" s="32" t="s">
        <v>19</v>
      </c>
      <c r="C4" s="33" t="s">
        <v>20</v>
      </c>
      <c r="D4" s="34" t="s">
        <v>21</v>
      </c>
      <c r="E4" s="35" t="s">
        <v>22</v>
      </c>
      <c r="F4" s="36"/>
      <c r="G4" s="37"/>
    </row>
    <row r="5" ht="19.5" customHeight="1">
      <c r="A5" s="38"/>
      <c r="B5" s="39"/>
      <c r="C5" s="40"/>
      <c r="D5" s="41"/>
      <c r="E5" s="42" t="s">
        <v>23</v>
      </c>
      <c r="F5" s="42" t="s">
        <v>20</v>
      </c>
      <c r="G5" s="43" t="s">
        <v>24</v>
      </c>
    </row>
    <row r="6" ht="199.5" customHeight="1">
      <c r="A6" s="44" t="s">
        <v>25</v>
      </c>
      <c r="B6" s="45" t="s">
        <v>26</v>
      </c>
      <c r="C6" s="45" t="s">
        <v>27</v>
      </c>
      <c r="D6" s="45" t="s">
        <v>28</v>
      </c>
      <c r="E6" s="45"/>
      <c r="F6" s="45"/>
      <c r="G6" s="46"/>
    </row>
    <row r="7" ht="199.5" customHeight="1">
      <c r="A7" s="47" t="s">
        <v>29</v>
      </c>
      <c r="B7" s="48" t="s">
        <v>30</v>
      </c>
      <c r="C7" s="45" t="s">
        <v>31</v>
      </c>
      <c r="D7" s="49" t="s">
        <v>32</v>
      </c>
      <c r="E7" s="45"/>
      <c r="F7" s="48"/>
      <c r="G7" s="50"/>
    </row>
    <row r="8" ht="49.5" customHeight="1">
      <c r="A8" s="23" t="s">
        <v>33</v>
      </c>
      <c r="B8" s="24"/>
      <c r="C8" s="24"/>
      <c r="D8" s="25"/>
      <c r="E8" s="25"/>
      <c r="F8" s="25"/>
      <c r="G8" s="26"/>
    </row>
    <row r="9" ht="19.5" customHeight="1">
      <c r="A9" s="27" t="s">
        <v>34</v>
      </c>
      <c r="B9" s="28"/>
      <c r="C9" s="28"/>
      <c r="D9" s="29"/>
      <c r="E9" s="29"/>
      <c r="F9" s="29"/>
      <c r="G9" s="30"/>
    </row>
    <row r="10" ht="19.5" customHeight="1">
      <c r="A10" s="31" t="s">
        <v>18</v>
      </c>
      <c r="B10" s="32" t="s">
        <v>19</v>
      </c>
      <c r="C10" s="33" t="s">
        <v>20</v>
      </c>
      <c r="D10" s="34" t="s">
        <v>21</v>
      </c>
      <c r="E10" s="35" t="s">
        <v>22</v>
      </c>
      <c r="F10" s="36"/>
      <c r="G10" s="37"/>
    </row>
    <row r="11" ht="19.5" customHeight="1">
      <c r="A11" s="38"/>
      <c r="B11" s="39"/>
      <c r="C11" s="40"/>
      <c r="D11" s="41"/>
      <c r="E11" s="42" t="s">
        <v>23</v>
      </c>
      <c r="F11" s="42" t="s">
        <v>20</v>
      </c>
      <c r="G11" s="43" t="s">
        <v>24</v>
      </c>
    </row>
    <row r="12" ht="199.5" customHeight="1">
      <c r="A12" s="51" t="s">
        <v>35</v>
      </c>
      <c r="B12" s="52" t="s">
        <v>36</v>
      </c>
      <c r="C12" s="52" t="s">
        <v>37</v>
      </c>
      <c r="D12" s="52" t="s">
        <v>38</v>
      </c>
      <c r="E12" s="52"/>
      <c r="F12" s="52"/>
      <c r="G12" s="53"/>
    </row>
    <row r="13" ht="199.5" customHeight="1">
      <c r="A13" s="54" t="s">
        <v>39</v>
      </c>
      <c r="B13" s="55" t="s">
        <v>40</v>
      </c>
      <c r="C13" s="55" t="s">
        <v>41</v>
      </c>
      <c r="D13" s="55" t="s">
        <v>42</v>
      </c>
      <c r="E13" s="55"/>
      <c r="F13" s="55"/>
      <c r="G13" s="56"/>
    </row>
    <row r="14" ht="199.5" customHeight="1">
      <c r="A14" s="47" t="s">
        <v>43</v>
      </c>
      <c r="B14" s="57" t="s">
        <v>44</v>
      </c>
      <c r="C14" s="45" t="s">
        <v>45</v>
      </c>
      <c r="D14" s="49" t="s">
        <v>46</v>
      </c>
      <c r="E14" s="45"/>
      <c r="F14" s="57"/>
      <c r="G14" s="58"/>
    </row>
    <row r="15" ht="49.5" customHeight="1">
      <c r="A15" s="23" t="s">
        <v>47</v>
      </c>
      <c r="B15" s="24"/>
      <c r="C15" s="24"/>
      <c r="D15" s="25"/>
      <c r="E15" s="25"/>
      <c r="F15" s="25"/>
      <c r="G15" s="26"/>
    </row>
    <row r="16" ht="19.5" customHeight="1">
      <c r="A16" s="27" t="s">
        <v>48</v>
      </c>
      <c r="B16" s="28"/>
      <c r="C16" s="28"/>
      <c r="D16" s="29"/>
      <c r="E16" s="29"/>
      <c r="F16" s="29"/>
      <c r="G16" s="30"/>
    </row>
    <row r="17" ht="19.5" customHeight="1">
      <c r="A17" s="31" t="s">
        <v>18</v>
      </c>
      <c r="B17" s="32" t="s">
        <v>19</v>
      </c>
      <c r="C17" s="33" t="s">
        <v>20</v>
      </c>
      <c r="D17" s="34" t="s">
        <v>21</v>
      </c>
      <c r="E17" s="35" t="s">
        <v>22</v>
      </c>
      <c r="F17" s="36"/>
      <c r="G17" s="37"/>
    </row>
    <row r="18" ht="19.5" customHeight="1">
      <c r="A18" s="38"/>
      <c r="B18" s="39"/>
      <c r="C18" s="40"/>
      <c r="D18" s="41"/>
      <c r="E18" s="42" t="s">
        <v>23</v>
      </c>
      <c r="F18" s="42" t="s">
        <v>20</v>
      </c>
      <c r="G18" s="43" t="s">
        <v>24</v>
      </c>
    </row>
    <row r="19" ht="199.5" customHeight="1">
      <c r="A19" s="51" t="s">
        <v>49</v>
      </c>
      <c r="B19" s="52" t="s">
        <v>50</v>
      </c>
      <c r="C19" s="52" t="s">
        <v>51</v>
      </c>
      <c r="D19" s="52" t="s">
        <v>52</v>
      </c>
      <c r="E19" s="52"/>
      <c r="F19" s="52"/>
      <c r="G19" s="53"/>
    </row>
    <row r="20" ht="199.5" customHeight="1">
      <c r="A20" s="54" t="s">
        <v>53</v>
      </c>
      <c r="B20" s="55" t="s">
        <v>54</v>
      </c>
      <c r="C20" s="55" t="s">
        <v>55</v>
      </c>
      <c r="D20" s="55" t="s">
        <v>56</v>
      </c>
      <c r="E20" s="55"/>
      <c r="F20" s="55"/>
      <c r="G20" s="56"/>
    </row>
    <row r="21" ht="4.5" customHeight="1">
      <c r="A21" s="59">
        <f>COUNTIF(A6:A20,"CASE-*")</f>
        <v>7</v>
      </c>
      <c r="B21" s="60"/>
      <c r="C21" s="61"/>
      <c r="D21" s="60"/>
      <c r="E21" s="62">
        <f>SUM(F21:G21)</f>
        <v>0</v>
      </c>
      <c r="F21" s="62">
        <f>COUNTIF(E6:E20,"Pass")</f>
        <v>0</v>
      </c>
      <c r="G21" s="63">
        <f>COUNTIF(E6:E20,"Fail")</f>
        <v>0</v>
      </c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">
    <mergeCell ref="A10:A11"/>
    <mergeCell ref="A17:A18"/>
    <mergeCell ref="B17:B18"/>
    <mergeCell ref="D17:D18"/>
    <mergeCell ref="E17:G17"/>
    <mergeCell ref="A4:A5"/>
    <mergeCell ref="B4:B5"/>
    <mergeCell ref="D4:D5"/>
    <mergeCell ref="E4:G4"/>
    <mergeCell ref="B10:B11"/>
    <mergeCell ref="D10:D11"/>
    <mergeCell ref="E10:G10"/>
  </mergeCells>
  <conditionalFormatting sqref="E6:E7">
    <cfRule type="cellIs" dxfId="0" priority="1" operator="equal">
      <formula>"Pass"</formula>
    </cfRule>
  </conditionalFormatting>
  <conditionalFormatting sqref="E6:E7">
    <cfRule type="cellIs" dxfId="1" priority="2" operator="equal">
      <formula>"Fail"</formula>
    </cfRule>
  </conditionalFormatting>
  <conditionalFormatting sqref="E6:E7">
    <cfRule type="cellIs" dxfId="2" priority="3" operator="equal">
      <formula>"Blocked"</formula>
    </cfRule>
  </conditionalFormatting>
  <conditionalFormatting sqref="E6:E7">
    <cfRule type="cellIs" dxfId="3" priority="4" operator="equal">
      <formula>"Invalid"</formula>
    </cfRule>
  </conditionalFormatting>
  <conditionalFormatting sqref="E12:E14">
    <cfRule type="cellIs" dxfId="0" priority="5" operator="equal">
      <formula>"Pass"</formula>
    </cfRule>
  </conditionalFormatting>
  <conditionalFormatting sqref="E12:E14">
    <cfRule type="cellIs" dxfId="1" priority="6" operator="equal">
      <formula>"Fail"</formula>
    </cfRule>
  </conditionalFormatting>
  <conditionalFormatting sqref="E12:E14">
    <cfRule type="cellIs" dxfId="2" priority="7" operator="equal">
      <formula>"Blocked"</formula>
    </cfRule>
  </conditionalFormatting>
  <conditionalFormatting sqref="E12:E14">
    <cfRule type="cellIs" dxfId="3" priority="8" operator="equal">
      <formula>"Invalid"</formula>
    </cfRule>
  </conditionalFormatting>
  <conditionalFormatting sqref="E19:E20">
    <cfRule type="cellIs" dxfId="0" priority="9" operator="equal">
      <formula>"Pass"</formula>
    </cfRule>
  </conditionalFormatting>
  <conditionalFormatting sqref="E19:E20">
    <cfRule type="cellIs" dxfId="1" priority="10" operator="equal">
      <formula>"Fail"</formula>
    </cfRule>
  </conditionalFormatting>
  <conditionalFormatting sqref="E19:E20">
    <cfRule type="cellIs" dxfId="2" priority="11" operator="equal">
      <formula>"Blocked"</formula>
    </cfRule>
  </conditionalFormatting>
  <conditionalFormatting sqref="E19:E20">
    <cfRule type="cellIs" dxfId="3" priority="12" operator="equal">
      <formula>"Invalid"</formula>
    </cfRule>
  </conditionalFormatting>
  <dataValidations>
    <dataValidation type="list" allowBlank="1" sqref="E6:E7 E12:E14 E19:E20">
      <formula1>"Pass,Fail"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30.75"/>
    <col customWidth="1" min="3" max="3" width="50.75"/>
    <col customWidth="1" min="4" max="4" width="55.75"/>
    <col customWidth="1" min="5" max="5" width="10.75"/>
    <col customWidth="1" min="6" max="7" width="50.75"/>
    <col customWidth="1" min="8" max="26" width="8.63"/>
  </cols>
  <sheetData>
    <row r="1" ht="79.5" customHeight="1">
      <c r="A1" s="20" t="s">
        <v>57</v>
      </c>
      <c r="B1" s="21"/>
      <c r="C1" s="21"/>
      <c r="D1" s="21"/>
      <c r="E1" s="21"/>
      <c r="F1" s="21"/>
      <c r="G1" s="22"/>
    </row>
    <row r="2" ht="49.5" customHeight="1">
      <c r="A2" s="23" t="s">
        <v>58</v>
      </c>
      <c r="B2" s="24"/>
      <c r="C2" s="24"/>
      <c r="D2" s="25"/>
      <c r="E2" s="25"/>
      <c r="F2" s="25"/>
      <c r="G2" s="26"/>
    </row>
    <row r="3" ht="19.5" customHeight="1">
      <c r="A3" s="27" t="s">
        <v>59</v>
      </c>
      <c r="B3" s="28"/>
      <c r="C3" s="28"/>
      <c r="D3" s="29"/>
      <c r="E3" s="29"/>
      <c r="F3" s="29"/>
      <c r="G3" s="30"/>
    </row>
    <row r="4" ht="19.5" customHeight="1">
      <c r="A4" s="31" t="s">
        <v>18</v>
      </c>
      <c r="B4" s="32" t="s">
        <v>19</v>
      </c>
      <c r="C4" s="33" t="s">
        <v>20</v>
      </c>
      <c r="D4" s="34" t="s">
        <v>21</v>
      </c>
      <c r="E4" s="35" t="s">
        <v>22</v>
      </c>
      <c r="F4" s="36"/>
      <c r="G4" s="37"/>
    </row>
    <row r="5" ht="19.5" customHeight="1">
      <c r="A5" s="38"/>
      <c r="B5" s="39"/>
      <c r="C5" s="40"/>
      <c r="D5" s="41"/>
      <c r="E5" s="42" t="s">
        <v>23</v>
      </c>
      <c r="F5" s="42" t="s">
        <v>20</v>
      </c>
      <c r="G5" s="43" t="s">
        <v>24</v>
      </c>
    </row>
    <row r="6" ht="199.5" customHeight="1">
      <c r="A6" s="51" t="s">
        <v>60</v>
      </c>
      <c r="B6" s="52" t="s">
        <v>57</v>
      </c>
      <c r="C6" s="52" t="s">
        <v>61</v>
      </c>
      <c r="D6" s="52" t="s">
        <v>62</v>
      </c>
      <c r="E6" s="52"/>
      <c r="F6" s="52"/>
      <c r="G6" s="46"/>
    </row>
    <row r="7" ht="199.5" customHeight="1">
      <c r="A7" s="55" t="s">
        <v>63</v>
      </c>
      <c r="B7" s="55" t="s">
        <v>64</v>
      </c>
      <c r="C7" s="55" t="s">
        <v>65</v>
      </c>
      <c r="D7" s="55" t="s">
        <v>66</v>
      </c>
      <c r="E7" s="55"/>
      <c r="F7" s="55"/>
      <c r="G7" s="53"/>
    </row>
    <row r="8" ht="199.5" customHeight="1">
      <c r="A8" s="47" t="s">
        <v>67</v>
      </c>
      <c r="B8" s="57" t="s">
        <v>68</v>
      </c>
      <c r="C8" s="45" t="s">
        <v>69</v>
      </c>
      <c r="D8" s="49" t="s">
        <v>70</v>
      </c>
      <c r="E8" s="45"/>
      <c r="F8" s="57"/>
      <c r="G8" s="50"/>
    </row>
    <row r="9" ht="49.5" customHeight="1">
      <c r="A9" s="23" t="s">
        <v>71</v>
      </c>
      <c r="B9" s="24"/>
      <c r="C9" s="24"/>
      <c r="D9" s="25"/>
      <c r="E9" s="25"/>
      <c r="F9" s="25"/>
      <c r="G9" s="26"/>
    </row>
    <row r="10" ht="19.5" customHeight="1">
      <c r="A10" s="27" t="s">
        <v>72</v>
      </c>
      <c r="B10" s="28"/>
      <c r="C10" s="28"/>
      <c r="D10" s="29"/>
      <c r="E10" s="29"/>
      <c r="F10" s="29"/>
      <c r="G10" s="30"/>
    </row>
    <row r="11" ht="19.5" customHeight="1">
      <c r="A11" s="31" t="s">
        <v>18</v>
      </c>
      <c r="B11" s="32" t="s">
        <v>19</v>
      </c>
      <c r="C11" s="33" t="s">
        <v>20</v>
      </c>
      <c r="D11" s="34" t="s">
        <v>21</v>
      </c>
      <c r="E11" s="35" t="s">
        <v>22</v>
      </c>
      <c r="F11" s="36"/>
      <c r="G11" s="37"/>
    </row>
    <row r="12" ht="19.5" customHeight="1">
      <c r="A12" s="38"/>
      <c r="B12" s="39"/>
      <c r="C12" s="40"/>
      <c r="D12" s="41"/>
      <c r="E12" s="42" t="s">
        <v>23</v>
      </c>
      <c r="F12" s="42" t="s">
        <v>20</v>
      </c>
      <c r="G12" s="43" t="s">
        <v>24</v>
      </c>
    </row>
    <row r="13" ht="199.5" customHeight="1">
      <c r="A13" s="51" t="s">
        <v>73</v>
      </c>
      <c r="B13" s="52" t="s">
        <v>74</v>
      </c>
      <c r="C13" s="55" t="s">
        <v>75</v>
      </c>
      <c r="D13" s="55" t="s">
        <v>66</v>
      </c>
      <c r="E13" s="52"/>
      <c r="F13" s="52"/>
      <c r="G13" s="53"/>
    </row>
    <row r="14" ht="49.5" customHeight="1">
      <c r="A14" s="23" t="s">
        <v>76</v>
      </c>
      <c r="B14" s="24"/>
      <c r="C14" s="24"/>
      <c r="D14" s="25"/>
      <c r="E14" s="25"/>
      <c r="F14" s="25"/>
      <c r="G14" s="26"/>
    </row>
    <row r="15" ht="19.5" customHeight="1">
      <c r="A15" s="27" t="s">
        <v>77</v>
      </c>
      <c r="B15" s="28"/>
      <c r="C15" s="28"/>
      <c r="D15" s="29"/>
      <c r="E15" s="29"/>
      <c r="F15" s="29"/>
      <c r="G15" s="30"/>
    </row>
    <row r="16" ht="19.5" customHeight="1">
      <c r="A16" s="31" t="s">
        <v>18</v>
      </c>
      <c r="B16" s="32" t="s">
        <v>19</v>
      </c>
      <c r="C16" s="33" t="s">
        <v>20</v>
      </c>
      <c r="D16" s="34" t="s">
        <v>21</v>
      </c>
      <c r="E16" s="35" t="s">
        <v>22</v>
      </c>
      <c r="F16" s="36"/>
      <c r="G16" s="37"/>
    </row>
    <row r="17" ht="19.5" customHeight="1">
      <c r="A17" s="38"/>
      <c r="B17" s="39"/>
      <c r="C17" s="40"/>
      <c r="D17" s="41"/>
      <c r="E17" s="42" t="s">
        <v>23</v>
      </c>
      <c r="F17" s="42" t="s">
        <v>20</v>
      </c>
      <c r="G17" s="43" t="s">
        <v>24</v>
      </c>
    </row>
    <row r="18" ht="199.5" customHeight="1">
      <c r="A18" s="51" t="s">
        <v>78</v>
      </c>
      <c r="B18" s="52" t="s">
        <v>79</v>
      </c>
      <c r="C18" s="52" t="s">
        <v>61</v>
      </c>
      <c r="D18" s="52" t="s">
        <v>38</v>
      </c>
      <c r="E18" s="52"/>
      <c r="F18" s="52"/>
      <c r="G18" s="53"/>
    </row>
    <row r="19" ht="4.5" customHeight="1">
      <c r="A19" s="59">
        <f>COUNTIF(A6:A18,"CASE-*")</f>
        <v>5</v>
      </c>
      <c r="B19" s="60"/>
      <c r="C19" s="61"/>
      <c r="D19" s="60"/>
      <c r="E19" s="62">
        <f>SUM(F19:G19)</f>
        <v>0</v>
      </c>
      <c r="F19" s="62">
        <f>COUNTIF(E6:E18,"Pass")</f>
        <v>0</v>
      </c>
      <c r="G19" s="63">
        <f>COUNTIF(E6:E18,"Fail")</f>
        <v>0</v>
      </c>
    </row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">
    <mergeCell ref="A11:A12"/>
    <mergeCell ref="A16:A17"/>
    <mergeCell ref="B16:B17"/>
    <mergeCell ref="D16:D17"/>
    <mergeCell ref="E16:G16"/>
    <mergeCell ref="A4:A5"/>
    <mergeCell ref="B4:B5"/>
    <mergeCell ref="D4:D5"/>
    <mergeCell ref="E4:G4"/>
    <mergeCell ref="B11:B12"/>
    <mergeCell ref="D11:D12"/>
    <mergeCell ref="E11:G11"/>
  </mergeCells>
  <conditionalFormatting sqref="E6:E8">
    <cfRule type="cellIs" dxfId="0" priority="1" operator="equal">
      <formula>"Pass"</formula>
    </cfRule>
  </conditionalFormatting>
  <conditionalFormatting sqref="E6:E8">
    <cfRule type="cellIs" dxfId="1" priority="2" operator="equal">
      <formula>"Fail"</formula>
    </cfRule>
  </conditionalFormatting>
  <conditionalFormatting sqref="E6:E8">
    <cfRule type="cellIs" dxfId="2" priority="3" operator="equal">
      <formula>"Blocked"</formula>
    </cfRule>
  </conditionalFormatting>
  <conditionalFormatting sqref="E6:E8">
    <cfRule type="cellIs" dxfId="3" priority="4" operator="equal">
      <formula>"Invalid"</formula>
    </cfRule>
  </conditionalFormatting>
  <conditionalFormatting sqref="E13">
    <cfRule type="cellIs" dxfId="0" priority="5" operator="equal">
      <formula>"Pass"</formula>
    </cfRule>
  </conditionalFormatting>
  <conditionalFormatting sqref="E13">
    <cfRule type="cellIs" dxfId="1" priority="6" operator="equal">
      <formula>"Fail"</formula>
    </cfRule>
  </conditionalFormatting>
  <conditionalFormatting sqref="E13">
    <cfRule type="cellIs" dxfId="2" priority="7" operator="equal">
      <formula>"Blocked"</formula>
    </cfRule>
  </conditionalFormatting>
  <conditionalFormatting sqref="E13">
    <cfRule type="cellIs" dxfId="3" priority="8" operator="equal">
      <formula>"Invalid"</formula>
    </cfRule>
  </conditionalFormatting>
  <conditionalFormatting sqref="E18">
    <cfRule type="cellIs" dxfId="0" priority="9" operator="equal">
      <formula>"Pass"</formula>
    </cfRule>
  </conditionalFormatting>
  <conditionalFormatting sqref="E18">
    <cfRule type="cellIs" dxfId="1" priority="10" operator="equal">
      <formula>"Fail"</formula>
    </cfRule>
  </conditionalFormatting>
  <conditionalFormatting sqref="E18">
    <cfRule type="cellIs" dxfId="2" priority="11" operator="equal">
      <formula>"Blocked"</formula>
    </cfRule>
  </conditionalFormatting>
  <conditionalFormatting sqref="E18">
    <cfRule type="cellIs" dxfId="3" priority="12" operator="equal">
      <formula>"Invalid"</formula>
    </cfRule>
  </conditionalFormatting>
  <dataValidations>
    <dataValidation type="list" allowBlank="1" sqref="E6:E8 E13 E18">
      <formula1>"Pass,Fail"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30.75"/>
    <col customWidth="1" min="3" max="3" width="50.75"/>
    <col customWidth="1" min="4" max="4" width="55.75"/>
    <col customWidth="1" min="5" max="5" width="10.75"/>
    <col customWidth="1" min="6" max="7" width="50.75"/>
    <col customWidth="1" min="8" max="26" width="8.63"/>
  </cols>
  <sheetData>
    <row r="1" ht="79.5" customHeight="1">
      <c r="A1" s="20" t="s">
        <v>10</v>
      </c>
      <c r="B1" s="21"/>
      <c r="C1" s="21"/>
      <c r="D1" s="21"/>
      <c r="E1" s="21"/>
      <c r="F1" s="21"/>
      <c r="G1" s="22"/>
    </row>
    <row r="2" ht="49.5" customHeight="1">
      <c r="A2" s="23" t="s">
        <v>80</v>
      </c>
      <c r="B2" s="24"/>
      <c r="C2" s="24"/>
      <c r="D2" s="25"/>
      <c r="E2" s="25"/>
      <c r="F2" s="25"/>
      <c r="G2" s="26"/>
    </row>
    <row r="3" ht="19.5" customHeight="1">
      <c r="A3" s="27" t="s">
        <v>81</v>
      </c>
      <c r="B3" s="28"/>
      <c r="C3" s="28"/>
      <c r="D3" s="29"/>
      <c r="E3" s="29"/>
      <c r="F3" s="29"/>
      <c r="G3" s="30"/>
    </row>
    <row r="4" ht="19.5" customHeight="1">
      <c r="A4" s="31" t="s">
        <v>18</v>
      </c>
      <c r="B4" s="32" t="s">
        <v>19</v>
      </c>
      <c r="C4" s="33" t="s">
        <v>20</v>
      </c>
      <c r="D4" s="34" t="s">
        <v>21</v>
      </c>
      <c r="E4" s="35" t="s">
        <v>22</v>
      </c>
      <c r="F4" s="36"/>
      <c r="G4" s="37"/>
    </row>
    <row r="5" ht="19.5" customHeight="1">
      <c r="A5" s="38"/>
      <c r="B5" s="39"/>
      <c r="C5" s="40"/>
      <c r="D5" s="41"/>
      <c r="E5" s="42" t="s">
        <v>23</v>
      </c>
      <c r="F5" s="42" t="s">
        <v>20</v>
      </c>
      <c r="G5" s="43" t="s">
        <v>24</v>
      </c>
    </row>
    <row r="6" ht="249.75" customHeight="1">
      <c r="A6" s="44" t="s">
        <v>82</v>
      </c>
      <c r="B6" s="45" t="s">
        <v>83</v>
      </c>
      <c r="C6" s="45" t="s">
        <v>61</v>
      </c>
      <c r="D6" s="45" t="s">
        <v>84</v>
      </c>
      <c r="E6" s="45"/>
      <c r="F6" s="45"/>
      <c r="G6" s="46"/>
    </row>
    <row r="7" ht="49.5" customHeight="1">
      <c r="A7" s="23" t="s">
        <v>85</v>
      </c>
      <c r="B7" s="24"/>
      <c r="C7" s="24"/>
      <c r="D7" s="25"/>
      <c r="E7" s="25"/>
      <c r="F7" s="25"/>
      <c r="G7" s="26"/>
    </row>
    <row r="8" ht="19.5" customHeight="1">
      <c r="A8" s="27" t="s">
        <v>86</v>
      </c>
      <c r="B8" s="28"/>
      <c r="C8" s="28"/>
      <c r="D8" s="29"/>
      <c r="E8" s="29"/>
      <c r="F8" s="29"/>
      <c r="G8" s="30"/>
    </row>
    <row r="9" ht="19.5" customHeight="1">
      <c r="A9" s="31" t="s">
        <v>18</v>
      </c>
      <c r="B9" s="32" t="s">
        <v>19</v>
      </c>
      <c r="C9" s="33" t="s">
        <v>20</v>
      </c>
      <c r="D9" s="34" t="s">
        <v>21</v>
      </c>
      <c r="E9" s="35" t="s">
        <v>22</v>
      </c>
      <c r="F9" s="36"/>
      <c r="G9" s="37"/>
    </row>
    <row r="10" ht="19.5" customHeight="1">
      <c r="A10" s="38"/>
      <c r="B10" s="39"/>
      <c r="C10" s="40"/>
      <c r="D10" s="41"/>
      <c r="E10" s="42" t="s">
        <v>23</v>
      </c>
      <c r="F10" s="42" t="s">
        <v>20</v>
      </c>
      <c r="G10" s="43" t="s">
        <v>24</v>
      </c>
    </row>
    <row r="11" ht="199.5" customHeight="1">
      <c r="A11" s="51" t="s">
        <v>87</v>
      </c>
      <c r="B11" s="52" t="s">
        <v>88</v>
      </c>
      <c r="C11" s="52" t="s">
        <v>89</v>
      </c>
      <c r="D11" s="52" t="s">
        <v>38</v>
      </c>
      <c r="E11" s="52"/>
      <c r="F11" s="52"/>
      <c r="G11" s="53"/>
    </row>
    <row r="12" ht="199.5" customHeight="1">
      <c r="A12" s="54" t="s">
        <v>90</v>
      </c>
      <c r="B12" s="55" t="s">
        <v>91</v>
      </c>
      <c r="C12" s="55" t="s">
        <v>92</v>
      </c>
      <c r="D12" s="55" t="s">
        <v>38</v>
      </c>
      <c r="E12" s="55"/>
      <c r="F12" s="55"/>
      <c r="G12" s="56"/>
    </row>
    <row r="13" ht="199.5" customHeight="1">
      <c r="A13" s="47" t="s">
        <v>93</v>
      </c>
      <c r="B13" s="57" t="s">
        <v>94</v>
      </c>
      <c r="C13" s="55" t="s">
        <v>95</v>
      </c>
      <c r="D13" s="55" t="s">
        <v>38</v>
      </c>
      <c r="E13" s="45"/>
      <c r="F13" s="57"/>
      <c r="G13" s="58"/>
    </row>
    <row r="14" ht="49.5" customHeight="1">
      <c r="A14" s="23" t="s">
        <v>96</v>
      </c>
      <c r="B14" s="24"/>
      <c r="C14" s="24"/>
      <c r="D14" s="25"/>
      <c r="E14" s="25"/>
      <c r="F14" s="25"/>
      <c r="G14" s="26"/>
    </row>
    <row r="15" ht="19.5" customHeight="1">
      <c r="A15" s="27" t="s">
        <v>97</v>
      </c>
      <c r="B15" s="28"/>
      <c r="C15" s="28"/>
      <c r="D15" s="29"/>
      <c r="E15" s="29"/>
      <c r="F15" s="29"/>
      <c r="G15" s="30"/>
    </row>
    <row r="16" ht="19.5" customHeight="1">
      <c r="A16" s="31" t="s">
        <v>18</v>
      </c>
      <c r="B16" s="32" t="s">
        <v>19</v>
      </c>
      <c r="C16" s="33" t="s">
        <v>20</v>
      </c>
      <c r="D16" s="34" t="s">
        <v>21</v>
      </c>
      <c r="E16" s="35" t="s">
        <v>22</v>
      </c>
      <c r="F16" s="36"/>
      <c r="G16" s="37"/>
    </row>
    <row r="17" ht="19.5" customHeight="1">
      <c r="A17" s="38"/>
      <c r="B17" s="39"/>
      <c r="C17" s="40"/>
      <c r="D17" s="41"/>
      <c r="E17" s="42" t="s">
        <v>23</v>
      </c>
      <c r="F17" s="42" t="s">
        <v>20</v>
      </c>
      <c r="G17" s="43" t="s">
        <v>24</v>
      </c>
    </row>
    <row r="18" ht="300.0" customHeight="1">
      <c r="A18" s="44" t="s">
        <v>98</v>
      </c>
      <c r="B18" s="45" t="s">
        <v>83</v>
      </c>
      <c r="C18" s="45" t="s">
        <v>99</v>
      </c>
      <c r="D18" s="45" t="s">
        <v>100</v>
      </c>
      <c r="E18" s="45"/>
      <c r="F18" s="45"/>
      <c r="G18" s="46"/>
    </row>
    <row r="19" ht="49.5" customHeight="1">
      <c r="A19" s="23" t="s">
        <v>101</v>
      </c>
      <c r="B19" s="24"/>
      <c r="C19" s="24"/>
      <c r="D19" s="25"/>
      <c r="E19" s="25"/>
      <c r="F19" s="25"/>
      <c r="G19" s="26"/>
    </row>
    <row r="20" ht="19.5" customHeight="1">
      <c r="A20" s="27" t="s">
        <v>102</v>
      </c>
      <c r="B20" s="28"/>
      <c r="C20" s="28"/>
      <c r="D20" s="29"/>
      <c r="E20" s="29"/>
      <c r="F20" s="29"/>
      <c r="G20" s="30"/>
    </row>
    <row r="21" ht="19.5" customHeight="1">
      <c r="A21" s="31" t="s">
        <v>18</v>
      </c>
      <c r="B21" s="32" t="s">
        <v>19</v>
      </c>
      <c r="C21" s="33" t="s">
        <v>20</v>
      </c>
      <c r="D21" s="34" t="s">
        <v>21</v>
      </c>
      <c r="E21" s="35" t="s">
        <v>22</v>
      </c>
      <c r="F21" s="36"/>
      <c r="G21" s="37"/>
    </row>
    <row r="22" ht="19.5" customHeight="1">
      <c r="A22" s="38"/>
      <c r="B22" s="39"/>
      <c r="C22" s="40"/>
      <c r="D22" s="41"/>
      <c r="E22" s="42" t="s">
        <v>23</v>
      </c>
      <c r="F22" s="42" t="s">
        <v>20</v>
      </c>
      <c r="G22" s="43" t="s">
        <v>24</v>
      </c>
    </row>
    <row r="23" ht="199.5" customHeight="1">
      <c r="A23" s="51" t="s">
        <v>103</v>
      </c>
      <c r="B23" s="52" t="s">
        <v>104</v>
      </c>
      <c r="C23" s="52" t="s">
        <v>105</v>
      </c>
      <c r="D23" s="52" t="s">
        <v>38</v>
      </c>
      <c r="E23" s="52"/>
      <c r="F23" s="52"/>
      <c r="G23" s="53"/>
    </row>
    <row r="24" ht="199.5" customHeight="1">
      <c r="A24" s="54" t="s">
        <v>106</v>
      </c>
      <c r="B24" s="55" t="s">
        <v>107</v>
      </c>
      <c r="C24" s="55" t="s">
        <v>108</v>
      </c>
      <c r="D24" s="55" t="s">
        <v>109</v>
      </c>
      <c r="E24" s="55"/>
      <c r="F24" s="55"/>
      <c r="G24" s="56"/>
    </row>
    <row r="25" ht="4.5" customHeight="1">
      <c r="A25" s="59">
        <f>COUNTIF(A6:A24,"CASE-*")</f>
        <v>7</v>
      </c>
      <c r="B25" s="60"/>
      <c r="C25" s="61"/>
      <c r="D25" s="60"/>
      <c r="E25" s="62">
        <f>SUM(F25:G25)</f>
        <v>0</v>
      </c>
      <c r="F25" s="62">
        <f>COUNTIF(E6:E24,"Pass")</f>
        <v>0</v>
      </c>
      <c r="G25" s="63">
        <f>COUNTIF(E6:E24,"Fail")</f>
        <v>0</v>
      </c>
    </row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6">
    <mergeCell ref="A4:A5"/>
    <mergeCell ref="B4:B5"/>
    <mergeCell ref="D4:D5"/>
    <mergeCell ref="E4:G4"/>
    <mergeCell ref="B9:B10"/>
    <mergeCell ref="D9:D10"/>
    <mergeCell ref="E9:G9"/>
    <mergeCell ref="D21:D22"/>
    <mergeCell ref="E21:G21"/>
    <mergeCell ref="A9:A10"/>
    <mergeCell ref="A16:A17"/>
    <mergeCell ref="B16:B17"/>
    <mergeCell ref="D16:D17"/>
    <mergeCell ref="E16:G16"/>
    <mergeCell ref="A21:A22"/>
    <mergeCell ref="B21:B22"/>
  </mergeCells>
  <conditionalFormatting sqref="E6">
    <cfRule type="cellIs" dxfId="0" priority="1" operator="equal">
      <formula>"Pass"</formula>
    </cfRule>
  </conditionalFormatting>
  <conditionalFormatting sqref="E6">
    <cfRule type="cellIs" dxfId="1" priority="2" operator="equal">
      <formula>"Fail"</formula>
    </cfRule>
  </conditionalFormatting>
  <conditionalFormatting sqref="E6">
    <cfRule type="cellIs" dxfId="2" priority="3" operator="equal">
      <formula>"Blocked"</formula>
    </cfRule>
  </conditionalFormatting>
  <conditionalFormatting sqref="E6">
    <cfRule type="cellIs" dxfId="3" priority="4" operator="equal">
      <formula>"Invalid"</formula>
    </cfRule>
  </conditionalFormatting>
  <conditionalFormatting sqref="E11:E13">
    <cfRule type="cellIs" dxfId="0" priority="5" operator="equal">
      <formula>"Pass"</formula>
    </cfRule>
  </conditionalFormatting>
  <conditionalFormatting sqref="E11:E13">
    <cfRule type="cellIs" dxfId="1" priority="6" operator="equal">
      <formula>"Fail"</formula>
    </cfRule>
  </conditionalFormatting>
  <conditionalFormatting sqref="E11:E13">
    <cfRule type="cellIs" dxfId="2" priority="7" operator="equal">
      <formula>"Blocked"</formula>
    </cfRule>
  </conditionalFormatting>
  <conditionalFormatting sqref="E11:E13">
    <cfRule type="cellIs" dxfId="3" priority="8" operator="equal">
      <formula>"Invalid"</formula>
    </cfRule>
  </conditionalFormatting>
  <conditionalFormatting sqref="E23:E24">
    <cfRule type="cellIs" dxfId="0" priority="9" operator="equal">
      <formula>"Pass"</formula>
    </cfRule>
  </conditionalFormatting>
  <conditionalFormatting sqref="E23:E24">
    <cfRule type="cellIs" dxfId="1" priority="10" operator="equal">
      <formula>"Fail"</formula>
    </cfRule>
  </conditionalFormatting>
  <conditionalFormatting sqref="E23:E24">
    <cfRule type="cellIs" dxfId="2" priority="11" operator="equal">
      <formula>"Blocked"</formula>
    </cfRule>
  </conditionalFormatting>
  <conditionalFormatting sqref="E23:E24">
    <cfRule type="cellIs" dxfId="3" priority="12" operator="equal">
      <formula>"Invalid"</formula>
    </cfRule>
  </conditionalFormatting>
  <conditionalFormatting sqref="E18">
    <cfRule type="cellIs" dxfId="0" priority="13" operator="equal">
      <formula>"Pass"</formula>
    </cfRule>
  </conditionalFormatting>
  <conditionalFormatting sqref="E18">
    <cfRule type="cellIs" dxfId="1" priority="14" operator="equal">
      <formula>"Fail"</formula>
    </cfRule>
  </conditionalFormatting>
  <conditionalFormatting sqref="E18">
    <cfRule type="cellIs" dxfId="2" priority="15" operator="equal">
      <formula>"Blocked"</formula>
    </cfRule>
  </conditionalFormatting>
  <conditionalFormatting sqref="E18">
    <cfRule type="cellIs" dxfId="3" priority="16" operator="equal">
      <formula>"Invalid"</formula>
    </cfRule>
  </conditionalFormatting>
  <dataValidations>
    <dataValidation type="list" allowBlank="1" sqref="E6 E11:E13 E18 E23:E24">
      <formula1>"Pass,Fail"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30.75"/>
    <col customWidth="1" min="3" max="3" width="50.75"/>
    <col customWidth="1" min="4" max="4" width="55.75"/>
    <col customWidth="1" min="5" max="5" width="10.75"/>
    <col customWidth="1" min="6" max="7" width="50.75"/>
    <col customWidth="1" min="8" max="26" width="8.63"/>
  </cols>
  <sheetData>
    <row r="1" ht="79.5" customHeight="1">
      <c r="A1" s="20" t="s">
        <v>11</v>
      </c>
      <c r="B1" s="21"/>
      <c r="C1" s="21"/>
      <c r="D1" s="21"/>
      <c r="E1" s="21"/>
      <c r="F1" s="21"/>
      <c r="G1" s="22"/>
    </row>
    <row r="2" ht="49.5" customHeight="1">
      <c r="A2" s="23" t="s">
        <v>110</v>
      </c>
      <c r="B2" s="24"/>
      <c r="C2" s="24"/>
      <c r="D2" s="25"/>
      <c r="E2" s="25"/>
      <c r="F2" s="25"/>
      <c r="G2" s="26"/>
    </row>
    <row r="3" ht="19.5" customHeight="1">
      <c r="A3" s="27" t="s">
        <v>111</v>
      </c>
      <c r="B3" s="28"/>
      <c r="C3" s="28"/>
      <c r="D3" s="29"/>
      <c r="E3" s="29"/>
      <c r="F3" s="29"/>
      <c r="G3" s="30"/>
    </row>
    <row r="4" ht="19.5" customHeight="1">
      <c r="A4" s="31" t="s">
        <v>18</v>
      </c>
      <c r="B4" s="32" t="s">
        <v>19</v>
      </c>
      <c r="C4" s="33" t="s">
        <v>20</v>
      </c>
      <c r="D4" s="34" t="s">
        <v>21</v>
      </c>
      <c r="E4" s="35" t="s">
        <v>22</v>
      </c>
      <c r="F4" s="36"/>
      <c r="G4" s="37"/>
    </row>
    <row r="5" ht="19.5" customHeight="1">
      <c r="A5" s="38"/>
      <c r="B5" s="39"/>
      <c r="C5" s="40"/>
      <c r="D5" s="41"/>
      <c r="E5" s="42" t="s">
        <v>23</v>
      </c>
      <c r="F5" s="42" t="s">
        <v>20</v>
      </c>
      <c r="G5" s="43" t="s">
        <v>24</v>
      </c>
    </row>
    <row r="6" ht="300.0" customHeight="1">
      <c r="A6" s="44" t="s">
        <v>112</v>
      </c>
      <c r="B6" s="45" t="s">
        <v>83</v>
      </c>
      <c r="C6" s="45" t="s">
        <v>99</v>
      </c>
      <c r="D6" s="45" t="s">
        <v>113</v>
      </c>
      <c r="E6" s="45"/>
      <c r="F6" s="45"/>
      <c r="G6" s="46"/>
    </row>
    <row r="7" ht="49.5" customHeight="1">
      <c r="A7" s="23" t="s">
        <v>114</v>
      </c>
      <c r="B7" s="24"/>
      <c r="C7" s="24"/>
      <c r="D7" s="25"/>
      <c r="E7" s="25"/>
      <c r="F7" s="25"/>
      <c r="G7" s="26"/>
    </row>
    <row r="8" ht="19.5" customHeight="1">
      <c r="A8" s="27" t="s">
        <v>115</v>
      </c>
      <c r="B8" s="28"/>
      <c r="C8" s="28"/>
      <c r="D8" s="29"/>
      <c r="E8" s="29"/>
      <c r="F8" s="29"/>
      <c r="G8" s="30"/>
    </row>
    <row r="9" ht="19.5" customHeight="1">
      <c r="A9" s="31" t="s">
        <v>18</v>
      </c>
      <c r="B9" s="32" t="s">
        <v>19</v>
      </c>
      <c r="C9" s="33" t="s">
        <v>20</v>
      </c>
      <c r="D9" s="34" t="s">
        <v>21</v>
      </c>
      <c r="E9" s="35" t="s">
        <v>22</v>
      </c>
      <c r="F9" s="36"/>
      <c r="G9" s="37"/>
    </row>
    <row r="10" ht="19.5" customHeight="1">
      <c r="A10" s="38"/>
      <c r="B10" s="39"/>
      <c r="C10" s="40"/>
      <c r="D10" s="41"/>
      <c r="E10" s="42" t="s">
        <v>23</v>
      </c>
      <c r="F10" s="42" t="s">
        <v>20</v>
      </c>
      <c r="G10" s="43" t="s">
        <v>24</v>
      </c>
    </row>
    <row r="11" ht="199.5" customHeight="1">
      <c r="A11" s="51" t="s">
        <v>116</v>
      </c>
      <c r="B11" s="52" t="s">
        <v>88</v>
      </c>
      <c r="C11" s="52" t="s">
        <v>117</v>
      </c>
      <c r="D11" s="52" t="s">
        <v>118</v>
      </c>
      <c r="E11" s="52"/>
      <c r="F11" s="52"/>
      <c r="G11" s="53"/>
    </row>
    <row r="12" ht="49.5" customHeight="1">
      <c r="A12" s="23" t="s">
        <v>119</v>
      </c>
      <c r="B12" s="24"/>
      <c r="C12" s="24"/>
      <c r="D12" s="25"/>
      <c r="E12" s="25"/>
      <c r="F12" s="25"/>
      <c r="G12" s="26"/>
    </row>
    <row r="13" ht="19.5" customHeight="1">
      <c r="A13" s="27" t="s">
        <v>120</v>
      </c>
      <c r="B13" s="28"/>
      <c r="C13" s="28"/>
      <c r="D13" s="29"/>
      <c r="E13" s="29"/>
      <c r="F13" s="29"/>
      <c r="G13" s="30"/>
    </row>
    <row r="14" ht="19.5" customHeight="1">
      <c r="A14" s="31" t="s">
        <v>18</v>
      </c>
      <c r="B14" s="32" t="s">
        <v>19</v>
      </c>
      <c r="C14" s="33" t="s">
        <v>20</v>
      </c>
      <c r="D14" s="34" t="s">
        <v>21</v>
      </c>
      <c r="E14" s="35" t="s">
        <v>22</v>
      </c>
      <c r="F14" s="36"/>
      <c r="G14" s="37"/>
    </row>
    <row r="15" ht="19.5" customHeight="1">
      <c r="A15" s="38"/>
      <c r="B15" s="39"/>
      <c r="C15" s="40"/>
      <c r="D15" s="41"/>
      <c r="E15" s="42" t="s">
        <v>23</v>
      </c>
      <c r="F15" s="42" t="s">
        <v>20</v>
      </c>
      <c r="G15" s="43" t="s">
        <v>24</v>
      </c>
    </row>
    <row r="16" ht="199.5" customHeight="1">
      <c r="A16" s="44" t="s">
        <v>121</v>
      </c>
      <c r="B16" s="45" t="s">
        <v>122</v>
      </c>
      <c r="C16" s="45" t="s">
        <v>123</v>
      </c>
      <c r="D16" s="45" t="s">
        <v>38</v>
      </c>
      <c r="E16" s="45"/>
      <c r="F16" s="45"/>
      <c r="G16" s="46"/>
    </row>
    <row r="17" ht="199.5" customHeight="1">
      <c r="A17" s="44" t="s">
        <v>124</v>
      </c>
      <c r="B17" s="45" t="s">
        <v>125</v>
      </c>
      <c r="C17" s="45" t="s">
        <v>126</v>
      </c>
      <c r="D17" s="45" t="s">
        <v>38</v>
      </c>
      <c r="E17" s="45"/>
      <c r="F17" s="45"/>
      <c r="G17" s="46"/>
    </row>
    <row r="18" ht="49.5" customHeight="1">
      <c r="A18" s="23" t="s">
        <v>127</v>
      </c>
      <c r="B18" s="24"/>
      <c r="C18" s="24"/>
      <c r="D18" s="25"/>
      <c r="E18" s="25"/>
      <c r="F18" s="25"/>
      <c r="G18" s="26"/>
    </row>
    <row r="19" ht="19.5" customHeight="1">
      <c r="A19" s="27" t="s">
        <v>128</v>
      </c>
      <c r="B19" s="28"/>
      <c r="C19" s="28"/>
      <c r="D19" s="29"/>
      <c r="E19" s="29"/>
      <c r="F19" s="29"/>
      <c r="G19" s="30"/>
    </row>
    <row r="20" ht="19.5" customHeight="1">
      <c r="A20" s="31" t="s">
        <v>18</v>
      </c>
      <c r="B20" s="32" t="s">
        <v>19</v>
      </c>
      <c r="C20" s="33" t="s">
        <v>20</v>
      </c>
      <c r="D20" s="34" t="s">
        <v>21</v>
      </c>
      <c r="E20" s="35" t="s">
        <v>22</v>
      </c>
      <c r="F20" s="36"/>
      <c r="G20" s="37"/>
    </row>
    <row r="21" ht="19.5" customHeight="1">
      <c r="A21" s="38"/>
      <c r="B21" s="39"/>
      <c r="C21" s="40"/>
      <c r="D21" s="41"/>
      <c r="E21" s="42" t="s">
        <v>23</v>
      </c>
      <c r="F21" s="42" t="s">
        <v>20</v>
      </c>
      <c r="G21" s="43" t="s">
        <v>24</v>
      </c>
    </row>
    <row r="22" ht="199.5" customHeight="1">
      <c r="A22" s="44" t="s">
        <v>129</v>
      </c>
      <c r="B22" s="45" t="s">
        <v>130</v>
      </c>
      <c r="C22" s="45" t="s">
        <v>99</v>
      </c>
      <c r="D22" s="45" t="s">
        <v>131</v>
      </c>
      <c r="E22" s="45"/>
      <c r="F22" s="45"/>
      <c r="G22" s="46"/>
    </row>
    <row r="23" ht="49.5" customHeight="1">
      <c r="A23" s="23" t="s">
        <v>132</v>
      </c>
      <c r="B23" s="24"/>
      <c r="C23" s="24"/>
      <c r="D23" s="25"/>
      <c r="E23" s="25"/>
      <c r="F23" s="25"/>
      <c r="G23" s="26"/>
    </row>
    <row r="24" ht="19.5" customHeight="1">
      <c r="A24" s="27" t="s">
        <v>133</v>
      </c>
      <c r="B24" s="28"/>
      <c r="C24" s="28"/>
      <c r="D24" s="29"/>
      <c r="E24" s="29"/>
      <c r="F24" s="29"/>
      <c r="G24" s="30"/>
    </row>
    <row r="25" ht="19.5" customHeight="1">
      <c r="A25" s="31" t="s">
        <v>18</v>
      </c>
      <c r="B25" s="32" t="s">
        <v>19</v>
      </c>
      <c r="C25" s="33" t="s">
        <v>20</v>
      </c>
      <c r="D25" s="34" t="s">
        <v>21</v>
      </c>
      <c r="E25" s="35" t="s">
        <v>22</v>
      </c>
      <c r="F25" s="36"/>
      <c r="G25" s="37"/>
    </row>
    <row r="26" ht="19.5" customHeight="1">
      <c r="A26" s="38"/>
      <c r="B26" s="39"/>
      <c r="C26" s="40"/>
      <c r="D26" s="41"/>
      <c r="E26" s="42" t="s">
        <v>23</v>
      </c>
      <c r="F26" s="42" t="s">
        <v>20</v>
      </c>
      <c r="G26" s="43" t="s">
        <v>24</v>
      </c>
    </row>
    <row r="27" ht="300.0" customHeight="1">
      <c r="A27" s="51" t="s">
        <v>134</v>
      </c>
      <c r="B27" s="52" t="s">
        <v>135</v>
      </c>
      <c r="C27" s="52" t="s">
        <v>136</v>
      </c>
      <c r="D27" s="52" t="s">
        <v>137</v>
      </c>
      <c r="E27" s="52"/>
      <c r="F27" s="52"/>
      <c r="G27" s="53"/>
    </row>
    <row r="28" ht="300.0" customHeight="1">
      <c r="A28" s="54" t="s">
        <v>138</v>
      </c>
      <c r="B28" s="55" t="s">
        <v>139</v>
      </c>
      <c r="C28" s="55" t="s">
        <v>140</v>
      </c>
      <c r="D28" s="55" t="s">
        <v>137</v>
      </c>
      <c r="E28" s="55"/>
      <c r="F28" s="55"/>
      <c r="G28" s="56"/>
    </row>
    <row r="29" ht="300.0" customHeight="1">
      <c r="A29" s="47" t="s">
        <v>141</v>
      </c>
      <c r="B29" s="55" t="s">
        <v>142</v>
      </c>
      <c r="C29" s="55" t="s">
        <v>143</v>
      </c>
      <c r="D29" s="55" t="s">
        <v>144</v>
      </c>
      <c r="E29" s="45"/>
      <c r="F29" s="57"/>
      <c r="G29" s="58"/>
    </row>
    <row r="30" ht="49.5" customHeight="1">
      <c r="A30" s="23" t="s">
        <v>145</v>
      </c>
      <c r="B30" s="24"/>
      <c r="C30" s="24"/>
      <c r="D30" s="25"/>
      <c r="E30" s="25"/>
      <c r="F30" s="25"/>
      <c r="G30" s="26"/>
    </row>
    <row r="31" ht="19.5" customHeight="1">
      <c r="A31" s="27" t="s">
        <v>146</v>
      </c>
      <c r="B31" s="28"/>
      <c r="C31" s="28"/>
      <c r="D31" s="29"/>
      <c r="E31" s="29"/>
      <c r="F31" s="29"/>
      <c r="G31" s="30"/>
    </row>
    <row r="32" ht="19.5" customHeight="1">
      <c r="A32" s="31" t="s">
        <v>18</v>
      </c>
      <c r="B32" s="32" t="s">
        <v>19</v>
      </c>
      <c r="C32" s="33" t="s">
        <v>20</v>
      </c>
      <c r="D32" s="34" t="s">
        <v>21</v>
      </c>
      <c r="E32" s="35" t="s">
        <v>22</v>
      </c>
      <c r="F32" s="36"/>
      <c r="G32" s="37"/>
    </row>
    <row r="33" ht="19.5" customHeight="1">
      <c r="A33" s="38"/>
      <c r="B33" s="39"/>
      <c r="C33" s="40"/>
      <c r="D33" s="41"/>
      <c r="E33" s="42" t="s">
        <v>23</v>
      </c>
      <c r="F33" s="42" t="s">
        <v>20</v>
      </c>
      <c r="G33" s="43" t="s">
        <v>24</v>
      </c>
    </row>
    <row r="34" ht="199.5" customHeight="1">
      <c r="A34" s="51" t="s">
        <v>147</v>
      </c>
      <c r="B34" s="52" t="s">
        <v>148</v>
      </c>
      <c r="C34" s="52" t="s">
        <v>149</v>
      </c>
      <c r="D34" s="52" t="s">
        <v>150</v>
      </c>
      <c r="E34" s="52"/>
      <c r="F34" s="52"/>
      <c r="G34" s="53"/>
    </row>
    <row r="35" ht="199.5" customHeight="1">
      <c r="A35" s="54" t="s">
        <v>151</v>
      </c>
      <c r="B35" s="55" t="s">
        <v>152</v>
      </c>
      <c r="C35" s="55" t="s">
        <v>149</v>
      </c>
      <c r="D35" s="55" t="s">
        <v>153</v>
      </c>
      <c r="E35" s="55"/>
      <c r="F35" s="55"/>
      <c r="G35" s="56"/>
    </row>
    <row r="36" ht="4.5" customHeight="1">
      <c r="A36" s="59">
        <f>COUNTIF(A6:A35,"CASE-*")</f>
        <v>10</v>
      </c>
      <c r="B36" s="60"/>
      <c r="C36" s="61"/>
      <c r="D36" s="60"/>
      <c r="E36" s="62">
        <f>SUM(F36:G36)</f>
        <v>0</v>
      </c>
      <c r="F36" s="62">
        <f>COUNTIF(E6:E35,"Pass")</f>
        <v>0</v>
      </c>
      <c r="G36" s="63">
        <f>COUNTIF(E6:E35,"Fail")</f>
        <v>0</v>
      </c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4">
    <mergeCell ref="A4:A5"/>
    <mergeCell ref="B4:B5"/>
    <mergeCell ref="D4:D5"/>
    <mergeCell ref="E4:G4"/>
    <mergeCell ref="B9:B10"/>
    <mergeCell ref="D9:D10"/>
    <mergeCell ref="E9:G9"/>
    <mergeCell ref="D20:D21"/>
    <mergeCell ref="E20:G20"/>
    <mergeCell ref="A25:A26"/>
    <mergeCell ref="B25:B26"/>
    <mergeCell ref="D25:D26"/>
    <mergeCell ref="E25:G25"/>
    <mergeCell ref="A32:A33"/>
    <mergeCell ref="B32:B33"/>
    <mergeCell ref="D32:D33"/>
    <mergeCell ref="E32:G32"/>
    <mergeCell ref="A9:A10"/>
    <mergeCell ref="A14:A15"/>
    <mergeCell ref="B14:B15"/>
    <mergeCell ref="D14:D15"/>
    <mergeCell ref="E14:G14"/>
    <mergeCell ref="A20:A21"/>
    <mergeCell ref="B20:B21"/>
  </mergeCells>
  <conditionalFormatting sqref="E6">
    <cfRule type="cellIs" dxfId="0" priority="1" operator="equal">
      <formula>"Pass"</formula>
    </cfRule>
  </conditionalFormatting>
  <conditionalFormatting sqref="E6">
    <cfRule type="cellIs" dxfId="1" priority="2" operator="equal">
      <formula>"Fail"</formula>
    </cfRule>
  </conditionalFormatting>
  <conditionalFormatting sqref="E6">
    <cfRule type="cellIs" dxfId="2" priority="3" operator="equal">
      <formula>"Blocked"</formula>
    </cfRule>
  </conditionalFormatting>
  <conditionalFormatting sqref="E6">
    <cfRule type="cellIs" dxfId="3" priority="4" operator="equal">
      <formula>"Invalid"</formula>
    </cfRule>
  </conditionalFormatting>
  <conditionalFormatting sqref="E11">
    <cfRule type="cellIs" dxfId="0" priority="5" operator="equal">
      <formula>"Pass"</formula>
    </cfRule>
  </conditionalFormatting>
  <conditionalFormatting sqref="E11">
    <cfRule type="cellIs" dxfId="1" priority="6" operator="equal">
      <formula>"Fail"</formula>
    </cfRule>
  </conditionalFormatting>
  <conditionalFormatting sqref="E11">
    <cfRule type="cellIs" dxfId="2" priority="7" operator="equal">
      <formula>"Blocked"</formula>
    </cfRule>
  </conditionalFormatting>
  <conditionalFormatting sqref="E11">
    <cfRule type="cellIs" dxfId="3" priority="8" operator="equal">
      <formula>"Invalid"</formula>
    </cfRule>
  </conditionalFormatting>
  <conditionalFormatting sqref="E34:E35">
    <cfRule type="cellIs" dxfId="0" priority="9" operator="equal">
      <formula>"Pass"</formula>
    </cfRule>
  </conditionalFormatting>
  <conditionalFormatting sqref="E34:E35">
    <cfRule type="cellIs" dxfId="1" priority="10" operator="equal">
      <formula>"Fail"</formula>
    </cfRule>
  </conditionalFormatting>
  <conditionalFormatting sqref="E34:E35">
    <cfRule type="cellIs" dxfId="2" priority="11" operator="equal">
      <formula>"Blocked"</formula>
    </cfRule>
  </conditionalFormatting>
  <conditionalFormatting sqref="E34:E35">
    <cfRule type="cellIs" dxfId="3" priority="12" operator="equal">
      <formula>"Invalid"</formula>
    </cfRule>
  </conditionalFormatting>
  <conditionalFormatting sqref="E17">
    <cfRule type="cellIs" dxfId="0" priority="13" operator="equal">
      <formula>"Pass"</formula>
    </cfRule>
  </conditionalFormatting>
  <conditionalFormatting sqref="E17">
    <cfRule type="cellIs" dxfId="1" priority="14" operator="equal">
      <formula>"Fail"</formula>
    </cfRule>
  </conditionalFormatting>
  <conditionalFormatting sqref="E17">
    <cfRule type="cellIs" dxfId="2" priority="15" operator="equal">
      <formula>"Blocked"</formula>
    </cfRule>
  </conditionalFormatting>
  <conditionalFormatting sqref="E17">
    <cfRule type="cellIs" dxfId="3" priority="16" operator="equal">
      <formula>"Invalid"</formula>
    </cfRule>
  </conditionalFormatting>
  <conditionalFormatting sqref="E22">
    <cfRule type="cellIs" dxfId="0" priority="17" operator="equal">
      <formula>"Pass"</formula>
    </cfRule>
  </conditionalFormatting>
  <conditionalFormatting sqref="E22">
    <cfRule type="cellIs" dxfId="1" priority="18" operator="equal">
      <formula>"Fail"</formula>
    </cfRule>
  </conditionalFormatting>
  <conditionalFormatting sqref="E22">
    <cfRule type="cellIs" dxfId="2" priority="19" operator="equal">
      <formula>"Blocked"</formula>
    </cfRule>
  </conditionalFormatting>
  <conditionalFormatting sqref="E22">
    <cfRule type="cellIs" dxfId="3" priority="20" operator="equal">
      <formula>"Invalid"</formula>
    </cfRule>
  </conditionalFormatting>
  <conditionalFormatting sqref="E27:E29">
    <cfRule type="cellIs" dxfId="0" priority="21" operator="equal">
      <formula>"Pass"</formula>
    </cfRule>
  </conditionalFormatting>
  <conditionalFormatting sqref="E27:E29">
    <cfRule type="cellIs" dxfId="1" priority="22" operator="equal">
      <formula>"Fail"</formula>
    </cfRule>
  </conditionalFormatting>
  <conditionalFormatting sqref="E27:E29">
    <cfRule type="cellIs" dxfId="2" priority="23" operator="equal">
      <formula>"Blocked"</formula>
    </cfRule>
  </conditionalFormatting>
  <conditionalFormatting sqref="E27:E29">
    <cfRule type="cellIs" dxfId="3" priority="24" operator="equal">
      <formula>"Invalid"</formula>
    </cfRule>
  </conditionalFormatting>
  <conditionalFormatting sqref="E16">
    <cfRule type="cellIs" dxfId="0" priority="25" operator="equal">
      <formula>"Pass"</formula>
    </cfRule>
  </conditionalFormatting>
  <conditionalFormatting sqref="E16">
    <cfRule type="cellIs" dxfId="1" priority="26" operator="equal">
      <formula>"Fail"</formula>
    </cfRule>
  </conditionalFormatting>
  <conditionalFormatting sqref="E16">
    <cfRule type="cellIs" dxfId="2" priority="27" operator="equal">
      <formula>"Blocked"</formula>
    </cfRule>
  </conditionalFormatting>
  <conditionalFormatting sqref="E16">
    <cfRule type="cellIs" dxfId="3" priority="28" operator="equal">
      <formula>"Invalid"</formula>
    </cfRule>
  </conditionalFormatting>
  <dataValidations>
    <dataValidation type="list" allowBlank="1" sqref="E6 E11 E16:E17 E22 E27:E29 E34:E35">
      <formula1>"Pass,Fail"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30.75"/>
    <col customWidth="1" min="3" max="3" width="50.75"/>
    <col customWidth="1" min="4" max="4" width="55.75"/>
    <col customWidth="1" min="5" max="5" width="10.75"/>
    <col customWidth="1" min="6" max="7" width="50.75"/>
    <col customWidth="1" min="8" max="26" width="8.63"/>
  </cols>
  <sheetData>
    <row r="1" ht="79.5" customHeight="1">
      <c r="A1" s="20" t="s">
        <v>12</v>
      </c>
      <c r="B1" s="21"/>
      <c r="C1" s="21"/>
      <c r="D1" s="21"/>
      <c r="E1" s="21"/>
      <c r="F1" s="21"/>
      <c r="G1" s="22"/>
    </row>
    <row r="2" ht="49.5" customHeight="1">
      <c r="A2" s="23" t="s">
        <v>154</v>
      </c>
      <c r="B2" s="24"/>
      <c r="C2" s="24"/>
      <c r="D2" s="25"/>
      <c r="E2" s="25"/>
      <c r="F2" s="25"/>
      <c r="G2" s="26"/>
    </row>
    <row r="3" ht="19.5" customHeight="1">
      <c r="A3" s="27" t="s">
        <v>155</v>
      </c>
      <c r="B3" s="28"/>
      <c r="C3" s="28"/>
      <c r="D3" s="29"/>
      <c r="E3" s="29"/>
      <c r="F3" s="29"/>
      <c r="G3" s="30"/>
    </row>
    <row r="4" ht="19.5" customHeight="1">
      <c r="A4" s="31" t="s">
        <v>18</v>
      </c>
      <c r="B4" s="32" t="s">
        <v>19</v>
      </c>
      <c r="C4" s="33" t="s">
        <v>20</v>
      </c>
      <c r="D4" s="34" t="s">
        <v>21</v>
      </c>
      <c r="E4" s="35" t="s">
        <v>22</v>
      </c>
      <c r="F4" s="36"/>
      <c r="G4" s="37"/>
    </row>
    <row r="5" ht="19.5" customHeight="1">
      <c r="A5" s="38"/>
      <c r="B5" s="39"/>
      <c r="C5" s="40"/>
      <c r="D5" s="41"/>
      <c r="E5" s="42" t="s">
        <v>23</v>
      </c>
      <c r="F5" s="42" t="s">
        <v>20</v>
      </c>
      <c r="G5" s="43" t="s">
        <v>24</v>
      </c>
    </row>
    <row r="6" ht="399.75" customHeight="1">
      <c r="A6" s="44" t="s">
        <v>156</v>
      </c>
      <c r="B6" s="45" t="s">
        <v>157</v>
      </c>
      <c r="C6" s="45" t="s">
        <v>158</v>
      </c>
      <c r="D6" s="45" t="s">
        <v>159</v>
      </c>
      <c r="E6" s="45"/>
      <c r="F6" s="45"/>
      <c r="G6" s="46"/>
    </row>
    <row r="7" ht="300.0" customHeight="1">
      <c r="A7" s="44" t="s">
        <v>160</v>
      </c>
      <c r="B7" s="45" t="s">
        <v>161</v>
      </c>
      <c r="C7" s="45" t="s">
        <v>162</v>
      </c>
      <c r="D7" s="64" t="s">
        <v>163</v>
      </c>
      <c r="E7" s="45"/>
      <c r="F7" s="45"/>
      <c r="G7" s="46"/>
    </row>
    <row r="8" ht="49.5" customHeight="1">
      <c r="A8" s="23" t="s">
        <v>164</v>
      </c>
      <c r="B8" s="24"/>
      <c r="C8" s="24"/>
      <c r="D8" s="25"/>
      <c r="E8" s="25"/>
      <c r="F8" s="25"/>
      <c r="G8" s="26"/>
    </row>
    <row r="9" ht="19.5" customHeight="1">
      <c r="A9" s="27" t="s">
        <v>165</v>
      </c>
      <c r="B9" s="28"/>
      <c r="C9" s="28"/>
      <c r="D9" s="29"/>
      <c r="E9" s="29"/>
      <c r="F9" s="29"/>
      <c r="G9" s="30"/>
    </row>
    <row r="10" ht="19.5" customHeight="1">
      <c r="A10" s="31" t="s">
        <v>18</v>
      </c>
      <c r="B10" s="32" t="s">
        <v>157</v>
      </c>
      <c r="C10" s="33" t="s">
        <v>20</v>
      </c>
      <c r="D10" s="34" t="s">
        <v>21</v>
      </c>
      <c r="E10" s="35" t="s">
        <v>22</v>
      </c>
      <c r="F10" s="36"/>
      <c r="G10" s="37"/>
    </row>
    <row r="11" ht="19.5" customHeight="1">
      <c r="A11" s="65"/>
      <c r="B11" s="66"/>
      <c r="C11" s="67"/>
      <c r="D11" s="68"/>
      <c r="E11" s="69" t="s">
        <v>23</v>
      </c>
      <c r="F11" s="69" t="s">
        <v>20</v>
      </c>
      <c r="G11" s="70" t="s">
        <v>24</v>
      </c>
    </row>
    <row r="12" ht="199.5" customHeight="1">
      <c r="A12" s="54" t="s">
        <v>166</v>
      </c>
      <c r="B12" s="55" t="s">
        <v>167</v>
      </c>
      <c r="C12" s="55" t="s">
        <v>168</v>
      </c>
      <c r="D12" s="55" t="s">
        <v>169</v>
      </c>
      <c r="E12" s="55"/>
      <c r="F12" s="55"/>
      <c r="G12" s="56"/>
    </row>
    <row r="13" ht="49.5" customHeight="1">
      <c r="A13" s="71" t="s">
        <v>170</v>
      </c>
      <c r="B13" s="72"/>
      <c r="C13" s="72"/>
      <c r="D13" s="73"/>
      <c r="E13" s="73"/>
      <c r="F13" s="73"/>
      <c r="G13" s="74"/>
    </row>
    <row r="14" ht="19.5" customHeight="1">
      <c r="A14" s="27" t="s">
        <v>171</v>
      </c>
      <c r="B14" s="28"/>
      <c r="C14" s="28"/>
      <c r="D14" s="29"/>
      <c r="E14" s="29"/>
      <c r="F14" s="29"/>
      <c r="G14" s="30"/>
    </row>
    <row r="15" ht="19.5" customHeight="1">
      <c r="A15" s="31" t="s">
        <v>18</v>
      </c>
      <c r="B15" s="32" t="s">
        <v>19</v>
      </c>
      <c r="C15" s="33" t="s">
        <v>20</v>
      </c>
      <c r="D15" s="34" t="s">
        <v>21</v>
      </c>
      <c r="E15" s="35" t="s">
        <v>22</v>
      </c>
      <c r="F15" s="36"/>
      <c r="G15" s="37"/>
    </row>
    <row r="16" ht="19.5" customHeight="1">
      <c r="A16" s="38"/>
      <c r="B16" s="39"/>
      <c r="C16" s="40"/>
      <c r="D16" s="41"/>
      <c r="E16" s="42" t="s">
        <v>23</v>
      </c>
      <c r="F16" s="42" t="s">
        <v>20</v>
      </c>
      <c r="G16" s="43" t="s">
        <v>24</v>
      </c>
    </row>
    <row r="17" ht="249.75" customHeight="1">
      <c r="A17" s="47" t="s">
        <v>172</v>
      </c>
      <c r="B17" s="57" t="s">
        <v>173</v>
      </c>
      <c r="C17" s="57" t="s">
        <v>174</v>
      </c>
      <c r="D17" s="57" t="s">
        <v>175</v>
      </c>
      <c r="E17" s="57"/>
      <c r="F17" s="57"/>
      <c r="G17" s="58"/>
    </row>
    <row r="18" ht="4.5" customHeight="1">
      <c r="A18" s="59">
        <f>COUNTIF(A7:A17,"CASE-*")</f>
        <v>3</v>
      </c>
      <c r="B18" s="60"/>
      <c r="C18" s="61"/>
      <c r="D18" s="60"/>
      <c r="E18" s="62">
        <f>SUM(F18:G18)</f>
        <v>0</v>
      </c>
      <c r="F18" s="62">
        <f>COUNTIF(E7:E17,"Pass")</f>
        <v>0</v>
      </c>
      <c r="G18" s="63">
        <f>COUNTIF(E7:E17,"Fail")</f>
        <v>0</v>
      </c>
    </row>
    <row r="19" ht="49.5" customHeight="1">
      <c r="A19" s="71" t="s">
        <v>176</v>
      </c>
      <c r="B19" s="72"/>
      <c r="C19" s="72"/>
      <c r="D19" s="73"/>
      <c r="E19" s="73"/>
      <c r="F19" s="73"/>
      <c r="G19" s="74"/>
    </row>
    <row r="20" ht="19.5" customHeight="1">
      <c r="A20" s="27" t="s">
        <v>177</v>
      </c>
      <c r="B20" s="28"/>
      <c r="C20" s="28"/>
      <c r="D20" s="29"/>
      <c r="E20" s="29"/>
      <c r="F20" s="29"/>
      <c r="G20" s="30"/>
    </row>
    <row r="21" ht="19.5" customHeight="1">
      <c r="A21" s="31" t="s">
        <v>18</v>
      </c>
      <c r="B21" s="32" t="s">
        <v>19</v>
      </c>
      <c r="C21" s="33" t="s">
        <v>20</v>
      </c>
      <c r="D21" s="34" t="s">
        <v>21</v>
      </c>
      <c r="E21" s="35" t="s">
        <v>22</v>
      </c>
      <c r="F21" s="36"/>
      <c r="G21" s="37"/>
    </row>
    <row r="22" ht="19.5" customHeight="1">
      <c r="A22" s="38"/>
      <c r="B22" s="39"/>
      <c r="C22" s="40"/>
      <c r="D22" s="41"/>
      <c r="E22" s="42" t="s">
        <v>23</v>
      </c>
      <c r="F22" s="42" t="s">
        <v>20</v>
      </c>
      <c r="G22" s="43" t="s">
        <v>24</v>
      </c>
    </row>
    <row r="23" ht="249.75" customHeight="1">
      <c r="A23" s="47" t="s">
        <v>178</v>
      </c>
      <c r="B23" s="57" t="s">
        <v>179</v>
      </c>
      <c r="C23" s="57" t="s">
        <v>180</v>
      </c>
      <c r="D23" s="57" t="s">
        <v>181</v>
      </c>
      <c r="E23" s="57"/>
      <c r="F23" s="57"/>
      <c r="G23" s="58"/>
    </row>
    <row r="24" ht="4.5" customHeight="1">
      <c r="A24" s="59">
        <f>COUNTIF(A6:A23,"CASE-*")</f>
        <v>5</v>
      </c>
      <c r="B24" s="60"/>
      <c r="C24" s="61"/>
      <c r="D24" s="60"/>
      <c r="E24" s="62">
        <f>SUM(F24:G24)</f>
        <v>0</v>
      </c>
      <c r="F24" s="62">
        <f>COUNTIF(E6:E23,"Pass")</f>
        <v>0</v>
      </c>
      <c r="G24" s="63">
        <f>COUNTIF(E6:E23,"Fail")</f>
        <v>0</v>
      </c>
    </row>
    <row r="25" ht="49.5" customHeight="1">
      <c r="A25" s="71" t="s">
        <v>182</v>
      </c>
      <c r="B25" s="72"/>
      <c r="C25" s="72"/>
      <c r="D25" s="73"/>
      <c r="E25" s="73"/>
      <c r="F25" s="73"/>
      <c r="G25" s="74"/>
    </row>
    <row r="26" ht="19.5" customHeight="1">
      <c r="A26" s="27" t="s">
        <v>183</v>
      </c>
      <c r="B26" s="28"/>
      <c r="C26" s="28"/>
      <c r="D26" s="29"/>
      <c r="E26" s="29"/>
      <c r="F26" s="29"/>
      <c r="G26" s="30"/>
    </row>
    <row r="27" ht="19.5" customHeight="1">
      <c r="A27" s="31" t="s">
        <v>18</v>
      </c>
      <c r="B27" s="32" t="s">
        <v>19</v>
      </c>
      <c r="C27" s="33" t="s">
        <v>20</v>
      </c>
      <c r="D27" s="34" t="s">
        <v>21</v>
      </c>
      <c r="E27" s="35" t="s">
        <v>22</v>
      </c>
      <c r="F27" s="36"/>
      <c r="G27" s="37"/>
    </row>
    <row r="28" ht="19.5" customHeight="1">
      <c r="A28" s="38"/>
      <c r="B28" s="39"/>
      <c r="C28" s="40"/>
      <c r="D28" s="41"/>
      <c r="E28" s="42" t="s">
        <v>23</v>
      </c>
      <c r="F28" s="42" t="s">
        <v>20</v>
      </c>
      <c r="G28" s="43" t="s">
        <v>24</v>
      </c>
    </row>
    <row r="29" ht="249.75" customHeight="1">
      <c r="A29" s="47" t="s">
        <v>184</v>
      </c>
      <c r="B29" s="57" t="s">
        <v>185</v>
      </c>
      <c r="C29" s="57" t="s">
        <v>186</v>
      </c>
      <c r="D29" s="57" t="s">
        <v>187</v>
      </c>
      <c r="E29" s="57"/>
      <c r="F29" s="57"/>
      <c r="G29" s="58"/>
    </row>
    <row r="30" ht="4.5" customHeight="1">
      <c r="A30" s="59">
        <f>COUNTIF(A6:A29,"CASE-*")</f>
        <v>6</v>
      </c>
      <c r="B30" s="60"/>
      <c r="C30" s="61"/>
      <c r="D30" s="60"/>
      <c r="E30" s="62">
        <f>SUM(F30:G30)</f>
        <v>0</v>
      </c>
      <c r="F30" s="62">
        <f>COUNTIF(E6:E29,"Pass")</f>
        <v>0</v>
      </c>
      <c r="G30" s="63">
        <f>COUNTIF(E6:E29,"Fail")</f>
        <v>0</v>
      </c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0">
    <mergeCell ref="A4:A5"/>
    <mergeCell ref="B4:B5"/>
    <mergeCell ref="D4:D5"/>
    <mergeCell ref="E4:G4"/>
    <mergeCell ref="B10:B11"/>
    <mergeCell ref="D10:D11"/>
    <mergeCell ref="E10:G10"/>
    <mergeCell ref="D21:D22"/>
    <mergeCell ref="E21:G21"/>
    <mergeCell ref="A27:A28"/>
    <mergeCell ref="B27:B28"/>
    <mergeCell ref="D27:D28"/>
    <mergeCell ref="E27:G27"/>
    <mergeCell ref="A10:A11"/>
    <mergeCell ref="A15:A16"/>
    <mergeCell ref="B15:B16"/>
    <mergeCell ref="D15:D16"/>
    <mergeCell ref="E15:G15"/>
    <mergeCell ref="A21:A22"/>
    <mergeCell ref="B21:B22"/>
  </mergeCells>
  <conditionalFormatting sqref="E7">
    <cfRule type="cellIs" dxfId="0" priority="1" operator="equal">
      <formula>"Pass"</formula>
    </cfRule>
  </conditionalFormatting>
  <conditionalFormatting sqref="E7">
    <cfRule type="cellIs" dxfId="1" priority="2" operator="equal">
      <formula>"Fail"</formula>
    </cfRule>
  </conditionalFormatting>
  <conditionalFormatting sqref="E7">
    <cfRule type="cellIs" dxfId="2" priority="3" operator="equal">
      <formula>"Blocked"</formula>
    </cfRule>
  </conditionalFormatting>
  <conditionalFormatting sqref="E7">
    <cfRule type="cellIs" dxfId="3" priority="4" operator="equal">
      <formula>"Invalid"</formula>
    </cfRule>
  </conditionalFormatting>
  <conditionalFormatting sqref="E17">
    <cfRule type="cellIs" dxfId="0" priority="5" operator="equal">
      <formula>"Pass"</formula>
    </cfRule>
  </conditionalFormatting>
  <conditionalFormatting sqref="E17">
    <cfRule type="cellIs" dxfId="1" priority="6" operator="equal">
      <formula>"Fail"</formula>
    </cfRule>
  </conditionalFormatting>
  <conditionalFormatting sqref="E17">
    <cfRule type="cellIs" dxfId="2" priority="7" operator="equal">
      <formula>"Blocked"</formula>
    </cfRule>
  </conditionalFormatting>
  <conditionalFormatting sqref="E17">
    <cfRule type="cellIs" dxfId="3" priority="8" operator="equal">
      <formula>"Invalid"</formula>
    </cfRule>
  </conditionalFormatting>
  <conditionalFormatting sqref="E6">
    <cfRule type="cellIs" dxfId="0" priority="9" operator="equal">
      <formula>"Pass"</formula>
    </cfRule>
  </conditionalFormatting>
  <conditionalFormatting sqref="E6">
    <cfRule type="cellIs" dxfId="1" priority="10" operator="equal">
      <formula>"Fail"</formula>
    </cfRule>
  </conditionalFormatting>
  <conditionalFormatting sqref="E6">
    <cfRule type="cellIs" dxfId="2" priority="11" operator="equal">
      <formula>"Blocked"</formula>
    </cfRule>
  </conditionalFormatting>
  <conditionalFormatting sqref="E6">
    <cfRule type="cellIs" dxfId="3" priority="12" operator="equal">
      <formula>"Invalid"</formula>
    </cfRule>
  </conditionalFormatting>
  <conditionalFormatting sqref="E12">
    <cfRule type="cellIs" dxfId="0" priority="13" operator="equal">
      <formula>"Pass"</formula>
    </cfRule>
  </conditionalFormatting>
  <conditionalFormatting sqref="E12">
    <cfRule type="cellIs" dxfId="1" priority="14" operator="equal">
      <formula>"Fail"</formula>
    </cfRule>
  </conditionalFormatting>
  <conditionalFormatting sqref="E12">
    <cfRule type="cellIs" dxfId="2" priority="15" operator="equal">
      <formula>"Blocked"</formula>
    </cfRule>
  </conditionalFormatting>
  <conditionalFormatting sqref="E12">
    <cfRule type="cellIs" dxfId="3" priority="16" operator="equal">
      <formula>"Invalid"</formula>
    </cfRule>
  </conditionalFormatting>
  <conditionalFormatting sqref="E23">
    <cfRule type="cellIs" dxfId="0" priority="17" operator="equal">
      <formula>"Pass"</formula>
    </cfRule>
  </conditionalFormatting>
  <conditionalFormatting sqref="E23">
    <cfRule type="cellIs" dxfId="1" priority="18" operator="equal">
      <formula>"Fail"</formula>
    </cfRule>
  </conditionalFormatting>
  <conditionalFormatting sqref="E23">
    <cfRule type="cellIs" dxfId="2" priority="19" operator="equal">
      <formula>"Blocked"</formula>
    </cfRule>
  </conditionalFormatting>
  <conditionalFormatting sqref="E23">
    <cfRule type="cellIs" dxfId="3" priority="20" operator="equal">
      <formula>"Invalid"</formula>
    </cfRule>
  </conditionalFormatting>
  <conditionalFormatting sqref="E29">
    <cfRule type="cellIs" dxfId="0" priority="21" operator="equal">
      <formula>"Pass"</formula>
    </cfRule>
  </conditionalFormatting>
  <conditionalFormatting sqref="E29">
    <cfRule type="cellIs" dxfId="1" priority="22" operator="equal">
      <formula>"Fail"</formula>
    </cfRule>
  </conditionalFormatting>
  <conditionalFormatting sqref="E29">
    <cfRule type="cellIs" dxfId="2" priority="23" operator="equal">
      <formula>"Blocked"</formula>
    </cfRule>
  </conditionalFormatting>
  <conditionalFormatting sqref="E29">
    <cfRule type="cellIs" dxfId="3" priority="24" operator="equal">
      <formula>"Invalid"</formula>
    </cfRule>
  </conditionalFormatting>
  <dataValidations>
    <dataValidation type="list" allowBlank="1" sqref="E6:E7 E12 E17 E23 E29">
      <formula1>"Pass,Fail"</formula1>
    </dataValidation>
  </dataValidations>
  <printOptions/>
  <pageMargins bottom="0.75" footer="0.0" header="0.0" left="0.7" right="0.7" top="0.75"/>
  <pageSetup orientation="portrait"/>
  <drawing r:id="rId1"/>
</worksheet>
</file>